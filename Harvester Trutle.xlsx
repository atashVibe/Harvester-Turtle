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chp2go-my.sharepoint.com/personal/ali_taheri-shalmani_chp_ca_gov/Documents/"/>
    </mc:Choice>
  </mc:AlternateContent>
  <xr:revisionPtr revIDLastSave="807" documentId="8_{29EB2F8C-7B08-4B9B-AEBB-89B3A13E9EF4}" xr6:coauthVersionLast="47" xr6:coauthVersionMax="47" xr10:uidLastSave="{0028A5FC-70AB-41EA-9284-443EF0FC6361}"/>
  <bookViews>
    <workbookView xWindow="14990" yWindow="5330" windowWidth="18670" windowHeight="11820" xr2:uid="{8C41CC04-6E38-421E-A89F-796176C2401C}"/>
  </bookViews>
  <sheets>
    <sheet name="Sheet1" sheetId="1" r:id="rId1"/>
    <sheet name="Sheet1 (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1" l="1"/>
  <c r="D22" i="1"/>
  <c r="E22" i="1"/>
  <c r="F22" i="1"/>
  <c r="G22" i="1"/>
  <c r="H22" i="1"/>
  <c r="I22" i="1"/>
  <c r="J22" i="1"/>
  <c r="K22" i="1"/>
  <c r="B22" i="1"/>
  <c r="C18" i="1" a="1"/>
  <c r="C18" i="1" s="1"/>
  <c r="D18" i="1" a="1"/>
  <c r="D18" i="1" s="1"/>
  <c r="D19" i="1" s="1"/>
  <c r="E18" i="1" a="1"/>
  <c r="E18" i="1" s="1"/>
  <c r="F18" i="1" a="1"/>
  <c r="F18" i="1" s="1"/>
  <c r="G18" i="1" a="1"/>
  <c r="G18" i="1" s="1"/>
  <c r="H18" i="1" a="1"/>
  <c r="H18" i="1" s="1"/>
  <c r="I18" i="1" a="1"/>
  <c r="I18" i="1" s="1"/>
  <c r="J18" i="1" a="1"/>
  <c r="J18" i="1" s="1"/>
  <c r="J19" i="1" s="1"/>
  <c r="K18" i="1" a="1"/>
  <c r="K18" i="1" s="1"/>
  <c r="B18" i="1" a="1"/>
  <c r="B18" i="1" s="1"/>
  <c r="B21" i="1" s="1"/>
  <c r="B11" i="1"/>
  <c r="B14" i="1" a="1"/>
  <c r="B14" i="1" s="1"/>
  <c r="C11" i="1"/>
  <c r="D11" i="1"/>
  <c r="E11" i="1"/>
  <c r="F11" i="1"/>
  <c r="G11" i="1"/>
  <c r="H11" i="1"/>
  <c r="I11" i="1"/>
  <c r="J11" i="1"/>
  <c r="K11" i="1"/>
  <c r="D3" i="1" a="1"/>
  <c r="D3" i="1" s="1"/>
  <c r="C14" i="1" a="1"/>
  <c r="C14" i="1" s="1"/>
  <c r="D14" i="1" a="1"/>
  <c r="D14" i="1" s="1"/>
  <c r="E14" i="1" a="1"/>
  <c r="E14" i="1" s="1"/>
  <c r="F14" i="1" a="1"/>
  <c r="F14" i="1" s="1"/>
  <c r="G14" i="1" a="1"/>
  <c r="G14" i="1" s="1"/>
  <c r="H14" i="1" a="1"/>
  <c r="H14" i="1" s="1"/>
  <c r="I14" i="1" a="1"/>
  <c r="I14" i="1" s="1"/>
  <c r="J14" i="1" a="1"/>
  <c r="J14" i="1" s="1"/>
  <c r="K14" i="1" a="1"/>
  <c r="K14" i="1" s="1"/>
  <c r="B3" i="2" a="1"/>
  <c r="B3" i="2" s="1"/>
  <c r="B15" i="2"/>
  <c r="B16" i="2" a="1"/>
  <c r="B16" i="2" s="1"/>
  <c r="D5" i="2"/>
  <c r="S8" i="2"/>
  <c r="R8" i="2"/>
  <c r="Q8" i="2"/>
  <c r="P8" i="2"/>
  <c r="O8" i="2"/>
  <c r="N8" i="2"/>
  <c r="M8" i="2"/>
  <c r="L8" i="2"/>
  <c r="K8" i="2"/>
  <c r="B8" i="2"/>
  <c r="U7" i="2"/>
  <c r="S3" i="2" a="1"/>
  <c r="S3" i="2" s="1"/>
  <c r="R3" i="2" a="1"/>
  <c r="R3" i="2" s="1"/>
  <c r="Q3" i="2" a="1"/>
  <c r="Q3" i="2" s="1"/>
  <c r="P3" i="2" a="1"/>
  <c r="P3" i="2" s="1"/>
  <c r="O3" i="2" a="1"/>
  <c r="O3" i="2" s="1"/>
  <c r="N3" i="2" a="1"/>
  <c r="N3" i="2" s="1"/>
  <c r="M3" i="2" a="1"/>
  <c r="M3" i="2" s="1"/>
  <c r="L3" i="2" a="1"/>
  <c r="L3" i="2" s="1"/>
  <c r="K3" i="2" a="1"/>
  <c r="K3" i="2" s="1"/>
  <c r="S2" i="2" a="1"/>
  <c r="S2" i="2" s="1"/>
  <c r="R2" i="2" a="1"/>
  <c r="R2" i="2" s="1"/>
  <c r="Q2" i="2" a="1"/>
  <c r="Q2" i="2" s="1"/>
  <c r="P2" i="2" a="1"/>
  <c r="P2" i="2" s="1"/>
  <c r="O2" i="2" a="1"/>
  <c r="O2" i="2" s="1"/>
  <c r="N2" i="2" a="1"/>
  <c r="N2" i="2" s="1"/>
  <c r="M2" i="2" a="1"/>
  <c r="M2" i="2" s="1"/>
  <c r="L2" i="2" a="1"/>
  <c r="L2" i="2" s="1"/>
  <c r="K2" i="2" a="1"/>
  <c r="K2" i="2" s="1"/>
  <c r="B2" i="2" a="1"/>
  <c r="B2" i="2" s="1"/>
  <c r="M5" i="1"/>
  <c r="D6" i="1"/>
  <c r="E6" i="1"/>
  <c r="F6" i="1"/>
  <c r="G6" i="1"/>
  <c r="H6" i="1"/>
  <c r="I6" i="1"/>
  <c r="J6" i="1"/>
  <c r="K6" i="1"/>
  <c r="B6" i="1"/>
  <c r="C6" i="1"/>
  <c r="C2" i="1" a="1"/>
  <c r="C2" i="1" s="1"/>
  <c r="D2" i="1" a="1"/>
  <c r="D2" i="1" s="1"/>
  <c r="E2" i="1" a="1"/>
  <c r="E2" i="1" s="1"/>
  <c r="F2" i="1" a="1"/>
  <c r="F2" i="1" s="1"/>
  <c r="G2" i="1" a="1"/>
  <c r="G2" i="1" s="1"/>
  <c r="H2" i="1" a="1"/>
  <c r="H2" i="1" s="1"/>
  <c r="I2" i="1" a="1"/>
  <c r="I2" i="1" s="1"/>
  <c r="J2" i="1" a="1"/>
  <c r="J2" i="1" s="1"/>
  <c r="K2" i="1" a="1"/>
  <c r="K2" i="1" s="1"/>
  <c r="C3" i="1" a="1"/>
  <c r="C3" i="1" s="1"/>
  <c r="E3" i="1" a="1"/>
  <c r="E3" i="1" s="1"/>
  <c r="F3" i="1" a="1"/>
  <c r="F3" i="1" s="1"/>
  <c r="G3" i="1" a="1"/>
  <c r="G3" i="1" s="1"/>
  <c r="H3" i="1" a="1"/>
  <c r="H3" i="1" s="1"/>
  <c r="I3" i="1" a="1"/>
  <c r="I3" i="1" s="1"/>
  <c r="J3" i="1" a="1"/>
  <c r="J3" i="1" s="1"/>
  <c r="K3" i="1" a="1"/>
  <c r="K3" i="1" s="1"/>
  <c r="B2" i="1" a="1"/>
  <c r="B2" i="1" s="1"/>
  <c r="D13" i="1" l="1"/>
  <c r="H13" i="1"/>
  <c r="G13" i="1"/>
  <c r="K13" i="1"/>
  <c r="J13" i="1"/>
  <c r="I13" i="1"/>
  <c r="F13" i="1"/>
  <c r="E13" i="1"/>
  <c r="B13" i="1"/>
  <c r="C13" i="1"/>
  <c r="E5" i="2"/>
  <c r="F5" i="2" s="1"/>
  <c r="G5" i="2" s="1"/>
  <c r="O9" i="2"/>
  <c r="O10" i="2" s="1"/>
  <c r="O18" i="2" s="1"/>
  <c r="O19" i="2" s="1"/>
  <c r="N9" i="2"/>
  <c r="N10" i="2" s="1"/>
  <c r="N18" i="2" s="1"/>
  <c r="N19" i="2" s="1"/>
  <c r="L9" i="2"/>
  <c r="L10" i="2" s="1"/>
  <c r="L18" i="2" s="1"/>
  <c r="L19" i="2" s="1"/>
  <c r="M9" i="2"/>
  <c r="M10" i="2" s="1"/>
  <c r="M18" i="2" s="1"/>
  <c r="M19" i="2" s="1"/>
  <c r="P9" i="2"/>
  <c r="P10" i="2" s="1"/>
  <c r="P18" i="2" s="1"/>
  <c r="P19" i="2" s="1"/>
  <c r="Q9" i="2"/>
  <c r="Q10" i="2" s="1"/>
  <c r="Q18" i="2" s="1"/>
  <c r="Q19" i="2" s="1"/>
  <c r="R9" i="2"/>
  <c r="R10" i="2" s="1"/>
  <c r="R18" i="2" s="1"/>
  <c r="R19" i="2" s="1"/>
  <c r="B9" i="2"/>
  <c r="B10" i="2" s="1"/>
  <c r="B18" i="2" s="1"/>
  <c r="B19" i="2" s="1"/>
  <c r="S9" i="2"/>
  <c r="S10" i="2" s="1"/>
  <c r="S18" i="2" s="1"/>
  <c r="S19" i="2" s="1"/>
  <c r="K9" i="2"/>
  <c r="K10" i="2" s="1"/>
  <c r="K18" i="2" s="1"/>
  <c r="K19" i="2" s="1"/>
  <c r="J7" i="1"/>
  <c r="J8" i="1" s="1"/>
  <c r="J16" i="1" s="1"/>
  <c r="D7" i="1"/>
  <c r="D8" i="1" s="1"/>
  <c r="D16" i="1" s="1"/>
  <c r="K7" i="1"/>
  <c r="K8" i="1" s="1"/>
  <c r="K21" i="1" s="1"/>
  <c r="C7" i="1"/>
  <c r="C8" i="1" s="1"/>
  <c r="C19" i="1" s="1"/>
  <c r="I7" i="1"/>
  <c r="I8" i="1" s="1"/>
  <c r="I16" i="1" s="1"/>
  <c r="H7" i="1"/>
  <c r="H8" i="1" s="1"/>
  <c r="H16" i="1" s="1"/>
  <c r="G7" i="1"/>
  <c r="G8" i="1" s="1"/>
  <c r="G16" i="1" s="1"/>
  <c r="B7" i="1"/>
  <c r="B8" i="1" s="1"/>
  <c r="B16" i="1" s="1"/>
  <c r="B17" i="1" s="1"/>
  <c r="F7" i="1"/>
  <c r="F8" i="1" s="1"/>
  <c r="F16" i="1" s="1"/>
  <c r="E7" i="1"/>
  <c r="E8" i="1" s="1"/>
  <c r="E21" i="1" s="1"/>
  <c r="J21" i="1" l="1"/>
  <c r="F21" i="1"/>
  <c r="G21" i="1"/>
  <c r="D21" i="1"/>
  <c r="H21" i="1"/>
  <c r="C21" i="1"/>
  <c r="I21" i="1"/>
  <c r="K16" i="1"/>
  <c r="K17" i="1" s="1"/>
  <c r="E16" i="1"/>
  <c r="E17" i="1" s="1"/>
  <c r="B19" i="1"/>
  <c r="C16" i="1"/>
  <c r="C17" i="1" s="1"/>
  <c r="M8" i="1"/>
  <c r="K19" i="1"/>
  <c r="I19" i="1"/>
  <c r="F19" i="1"/>
  <c r="E19" i="1"/>
  <c r="G19" i="1"/>
  <c r="H19" i="1"/>
  <c r="I17" i="1"/>
  <c r="J17" i="1"/>
  <c r="F17" i="1"/>
  <c r="H17" i="1"/>
  <c r="G17" i="1"/>
  <c r="D17" i="1"/>
  <c r="U19" i="2"/>
  <c r="M17"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
    <bk>
      <extLst>
        <ext uri="{3e2802c4-a4d2-4d8b-9148-e3be6c30e623}">
          <xlrd:rvb i="2"/>
        </ext>
      </extLst>
    </bk>
    <bk>
      <extLst>
        <ext uri="{3e2802c4-a4d2-4d8b-9148-e3be6c30e623}">
          <xlrd:rvb i="5"/>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2"/>
        </ext>
      </extLst>
    </bk>
  </futureMetadata>
  <cellMetadata count="1">
    <bk>
      <rc t="1" v="0"/>
    </bk>
  </cellMetadata>
  <valueMetadata count="10">
    <bk>
      <rc t="2" v="0"/>
    </bk>
    <bk>
      <rc t="2" v="1"/>
    </bk>
    <bk>
      <rc t="2" v="2"/>
    </bk>
    <bk>
      <rc t="2" v="3"/>
    </bk>
    <bk>
      <rc t="2" v="4"/>
    </bk>
    <bk>
      <rc t="2" v="5"/>
    </bk>
    <bk>
      <rc t="2" v="6"/>
    </bk>
    <bk>
      <rc t="2" v="7"/>
    </bk>
    <bk>
      <rc t="2" v="8"/>
    </bk>
    <bk>
      <rc t="2" v="9"/>
    </bk>
  </valueMetadata>
</metadata>
</file>

<file path=xl/sharedStrings.xml><?xml version="1.0" encoding="utf-8"?>
<sst xmlns="http://schemas.openxmlformats.org/spreadsheetml/2006/main" count="44" uniqueCount="31">
  <si>
    <t>Amount invested ($)</t>
  </si>
  <si>
    <t>Buy price ($/share)</t>
  </si>
  <si>
    <t>Name</t>
  </si>
  <si>
    <t>Current Price</t>
  </si>
  <si>
    <t>Symbol</t>
  </si>
  <si>
    <t>Number of shares</t>
  </si>
  <si>
    <t>Sum</t>
  </si>
  <si>
    <t>This much</t>
  </si>
  <si>
    <t>Minimum harvest ($)</t>
  </si>
  <si>
    <t>Harvest at (%)</t>
  </si>
  <si>
    <t>Current Value ($)</t>
  </si>
  <si>
    <t>Profit</t>
  </si>
  <si>
    <t>Action</t>
  </si>
  <si>
    <t>Groth Goal</t>
  </si>
  <si>
    <t>Celling</t>
  </si>
  <si>
    <t>Floor</t>
  </si>
  <si>
    <t>Entry Price</t>
  </si>
  <si>
    <t>Entry Amount</t>
  </si>
  <si>
    <t>Number of Sahres</t>
  </si>
  <si>
    <t>Current Value</t>
  </si>
  <si>
    <t>Current Profit</t>
  </si>
  <si>
    <t>Harvest Amount</t>
  </si>
  <si>
    <t>Harvest Price</t>
  </si>
  <si>
    <t>New Entry Price</t>
  </si>
  <si>
    <t>Harvest cash</t>
  </si>
  <si>
    <t>Suggestion</t>
  </si>
  <si>
    <t>Change(%)</t>
  </si>
  <si>
    <t>fixed</t>
  </si>
  <si>
    <t>ü</t>
  </si>
  <si>
    <t>Allowed to Sell</t>
  </si>
  <si>
    <t>Allowed to 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</si>
</sst>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quot;$&quot;#,##0.00"/>
    <numFmt numFmtId="165" formatCode="\$#,##0.00;[Red]\(\$#,##0.00\);\-"/>
    <numFmt numFmtId="166" formatCode="0.0%"/>
    <numFmt numFmtId="167" formatCode="0.00000"/>
    <numFmt numFmtId="168" formatCode="#,##0.000000000000_);[Red]\(#,##0.000000000000\)"/>
  </numFmts>
  <fonts count="14">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b/>
      <sz val="11"/>
      <name val="Carlito"/>
    </font>
    <font>
      <sz val="11"/>
      <color rgb="FF0000FF"/>
      <name val="Carlito"/>
    </font>
    <font>
      <sz val="11"/>
      <name val="Carlito"/>
    </font>
    <font>
      <b/>
      <sz val="12"/>
      <name val="Carlito"/>
    </font>
    <font>
      <b/>
      <sz val="12"/>
      <color theme="1"/>
      <name val="Aptos Narrow"/>
      <family val="2"/>
      <scheme val="minor"/>
    </font>
    <font>
      <sz val="11"/>
      <color theme="0" tint="-0.249977111117893"/>
      <name val="Carlito"/>
    </font>
    <font>
      <sz val="11"/>
      <color theme="0" tint="-0.249977111117893"/>
      <name val="Wingdings"/>
      <charset val="2"/>
    </font>
    <font>
      <sz val="11"/>
      <color theme="0" tint="-0.249977111117893"/>
      <name val="Aptos Narrow"/>
      <family val="2"/>
      <scheme val="minor"/>
    </font>
    <font>
      <b/>
      <sz val="11"/>
      <name val="Aptos Narrow"/>
      <family val="2"/>
      <scheme val="minor"/>
    </font>
    <font>
      <sz val="11"/>
      <name val="Aptos Narrow"/>
      <family val="2"/>
      <scheme val="minor"/>
    </font>
  </fonts>
  <fills count="13">
    <fill>
      <patternFill patternType="none"/>
    </fill>
    <fill>
      <patternFill patternType="gray125"/>
    </fill>
    <fill>
      <patternFill patternType="solid">
        <fgColor theme="4"/>
      </patternFill>
    </fill>
    <fill>
      <patternFill patternType="solid">
        <fgColor theme="5"/>
      </patternFill>
    </fill>
    <fill>
      <patternFill patternType="solid">
        <fgColor rgb="FFFFF2CC"/>
      </patternFill>
    </fill>
    <fill>
      <patternFill patternType="solid">
        <fgColor theme="9" tint="0.59999389629810485"/>
        <bgColor indexed="64"/>
      </patternFill>
    </fill>
    <fill>
      <patternFill patternType="solid">
        <fgColor rgb="FFFFD347"/>
        <bgColor indexed="64"/>
      </patternFill>
    </fill>
    <fill>
      <patternFill patternType="solid">
        <fgColor rgb="FFFFFF00"/>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F9FEC6"/>
        <bgColor indexed="64"/>
      </patternFill>
    </fill>
    <fill>
      <patternFill patternType="solid">
        <fgColor theme="4" tint="0.79998168889431442"/>
        <bgColor indexed="64"/>
      </patternFill>
    </fill>
    <fill>
      <patternFill patternType="solid">
        <fgColor theme="8"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bottom/>
      <diagonal/>
    </border>
    <border>
      <left/>
      <right style="thin">
        <color indexed="64"/>
      </right>
      <top style="medium">
        <color indexed="64"/>
      </top>
      <bottom style="medium">
        <color indexed="64"/>
      </bottom>
      <diagonal/>
    </border>
  </borders>
  <cellStyleXfs count="5">
    <xf numFmtId="0" fontId="0" fillId="0" borderId="0"/>
    <xf numFmtId="44" fontId="1" fillId="0" borderId="0" applyFont="0" applyFill="0" applyBorder="0" applyAlignment="0" applyProtection="0"/>
    <xf numFmtId="0" fontId="3" fillId="2" borderId="0" applyNumberFormat="0" applyBorder="0" applyAlignment="0" applyProtection="0"/>
    <xf numFmtId="0" fontId="3" fillId="3" borderId="0" applyNumberFormat="0" applyBorder="0" applyAlignment="0" applyProtection="0"/>
    <xf numFmtId="9" fontId="1" fillId="0" borderId="0" applyFont="0" applyFill="0" applyBorder="0" applyAlignment="0" applyProtection="0"/>
  </cellStyleXfs>
  <cellXfs count="53">
    <xf numFmtId="0" fontId="0" fillId="0" borderId="0" xfId="0"/>
    <xf numFmtId="0" fontId="0" fillId="0" borderId="0" xfId="0" applyAlignment="1">
      <alignment horizontal="center"/>
    </xf>
    <xf numFmtId="0" fontId="4" fillId="0" borderId="0" xfId="0" applyFont="1"/>
    <xf numFmtId="164" fontId="3" fillId="2" borderId="0" xfId="2" applyNumberFormat="1" applyAlignment="1">
      <alignment horizontal="center" vertical="center"/>
    </xf>
    <xf numFmtId="164" fontId="2" fillId="2" borderId="0" xfId="2" applyNumberFormat="1" applyFont="1" applyAlignment="1">
      <alignment horizontal="center" vertical="center"/>
    </xf>
    <xf numFmtId="164" fontId="3" fillId="3" borderId="0" xfId="3" applyNumberFormat="1" applyAlignment="1">
      <alignment horizontal="center" vertical="center"/>
    </xf>
    <xf numFmtId="165" fontId="5" fillId="4" borderId="1" xfId="0" applyNumberFormat="1" applyFont="1" applyFill="1" applyBorder="1" applyProtection="1">
      <protection locked="0"/>
    </xf>
    <xf numFmtId="0" fontId="4" fillId="0" borderId="0" xfId="0" applyFont="1" applyAlignment="1">
      <alignment horizontal="center" wrapText="1"/>
    </xf>
    <xf numFmtId="164" fontId="0" fillId="0" borderId="0" xfId="1" applyNumberFormat="1" applyFont="1"/>
    <xf numFmtId="164" fontId="0" fillId="0" borderId="0" xfId="0" applyNumberFormat="1"/>
    <xf numFmtId="167" fontId="6" fillId="0" borderId="0" xfId="0" applyNumberFormat="1" applyFont="1"/>
    <xf numFmtId="166" fontId="6" fillId="0" borderId="1" xfId="0" applyNumberFormat="1" applyFont="1" applyBorder="1"/>
    <xf numFmtId="167" fontId="6" fillId="0" borderId="1" xfId="0" applyNumberFormat="1" applyFont="1" applyBorder="1"/>
    <xf numFmtId="164" fontId="0" fillId="5" borderId="1" xfId="1" applyNumberFormat="1" applyFont="1" applyFill="1" applyBorder="1"/>
    <xf numFmtId="164" fontId="0" fillId="6" borderId="1" xfId="0" applyNumberFormat="1" applyFill="1" applyBorder="1"/>
    <xf numFmtId="165" fontId="0" fillId="0" borderId="0" xfId="0" applyNumberFormat="1"/>
    <xf numFmtId="165" fontId="0" fillId="5" borderId="0" xfId="0" applyNumberFormat="1" applyFill="1"/>
    <xf numFmtId="0" fontId="0" fillId="5" borderId="0" xfId="0" applyFill="1" applyAlignment="1">
      <alignment horizontal="center" vertical="center"/>
    </xf>
    <xf numFmtId="0" fontId="4" fillId="0" borderId="2" xfId="0" applyFont="1" applyBorder="1"/>
    <xf numFmtId="164" fontId="6" fillId="0" borderId="1" xfId="0" applyNumberFormat="1" applyFont="1" applyBorder="1"/>
    <xf numFmtId="164" fontId="4" fillId="0" borderId="2" xfId="1" applyNumberFormat="1" applyFont="1" applyFill="1" applyBorder="1" applyAlignment="1">
      <alignment horizontal="center" wrapText="1"/>
    </xf>
    <xf numFmtId="0" fontId="0" fillId="0" borderId="2" xfId="0" applyBorder="1"/>
    <xf numFmtId="165" fontId="0" fillId="5" borderId="2" xfId="0" applyNumberFormat="1" applyFill="1" applyBorder="1"/>
    <xf numFmtId="164" fontId="0" fillId="0" borderId="1" xfId="0" applyNumberFormat="1" applyBorder="1"/>
    <xf numFmtId="168" fontId="0" fillId="0" borderId="0" xfId="0" applyNumberFormat="1"/>
    <xf numFmtId="0" fontId="4" fillId="0" borderId="0" xfId="0" applyFont="1" applyFill="1" applyBorder="1"/>
    <xf numFmtId="9" fontId="0" fillId="0" borderId="0" xfId="4" applyFont="1"/>
    <xf numFmtId="0" fontId="8" fillId="0" borderId="4" xfId="0" applyFont="1" applyBorder="1" applyAlignment="1">
      <alignment horizontal="center" vertical="center"/>
    </xf>
    <xf numFmtId="0" fontId="8" fillId="0" borderId="0" xfId="0" applyFont="1" applyBorder="1" applyAlignment="1">
      <alignment horizontal="center" vertical="center"/>
    </xf>
    <xf numFmtId="0" fontId="7" fillId="8" borderId="3" xfId="0" applyFont="1" applyFill="1" applyBorder="1" applyAlignment="1">
      <alignment horizontal="center" vertical="center"/>
    </xf>
    <xf numFmtId="164" fontId="3" fillId="3" borderId="5" xfId="3" applyNumberFormat="1" applyBorder="1" applyAlignment="1">
      <alignment horizontal="center" vertical="center"/>
    </xf>
    <xf numFmtId="0" fontId="0" fillId="0" borderId="5" xfId="0" applyBorder="1" applyAlignment="1">
      <alignment horizontal="center"/>
    </xf>
    <xf numFmtId="0" fontId="0" fillId="0" borderId="5" xfId="0" applyBorder="1"/>
    <xf numFmtId="0" fontId="4" fillId="0" borderId="5" xfId="0" applyFont="1" applyBorder="1" applyAlignment="1">
      <alignment horizontal="center" wrapText="1"/>
    </xf>
    <xf numFmtId="9" fontId="0" fillId="0" borderId="5" xfId="4" applyFont="1" applyBorder="1"/>
    <xf numFmtId="0" fontId="8" fillId="0" borderId="6" xfId="0" applyFont="1" applyBorder="1" applyAlignment="1">
      <alignment horizontal="center" vertical="center"/>
    </xf>
    <xf numFmtId="0" fontId="0" fillId="0" borderId="0" xfId="0" applyBorder="1"/>
    <xf numFmtId="165" fontId="0" fillId="5" borderId="1" xfId="0" applyNumberFormat="1" applyFill="1" applyBorder="1"/>
    <xf numFmtId="9" fontId="4" fillId="0" borderId="0" xfId="4" applyFont="1" applyFill="1" applyBorder="1"/>
    <xf numFmtId="0" fontId="9" fillId="9" borderId="0" xfId="0" applyFont="1" applyFill="1" applyAlignment="1">
      <alignment horizontal="center" vertical="center"/>
    </xf>
    <xf numFmtId="167" fontId="9" fillId="9" borderId="0" xfId="0" applyNumberFormat="1" applyFont="1" applyFill="1" applyAlignment="1">
      <alignment horizontal="center" vertical="center"/>
    </xf>
    <xf numFmtId="167" fontId="10" fillId="9" borderId="0" xfId="0" applyNumberFormat="1" applyFont="1" applyFill="1" applyAlignment="1">
      <alignment horizontal="center" vertical="center"/>
    </xf>
    <xf numFmtId="167" fontId="9" fillId="9" borderId="5" xfId="0" applyNumberFormat="1" applyFont="1" applyFill="1" applyBorder="1" applyAlignment="1">
      <alignment horizontal="center" vertical="center"/>
    </xf>
    <xf numFmtId="0" fontId="11" fillId="9" borderId="0" xfId="0" applyFont="1" applyFill="1" applyAlignment="1">
      <alignment horizontal="center" vertical="center"/>
    </xf>
    <xf numFmtId="165" fontId="11" fillId="9" borderId="0" xfId="0" applyNumberFormat="1" applyFont="1" applyFill="1" applyAlignment="1">
      <alignment horizontal="center" vertical="center"/>
    </xf>
    <xf numFmtId="164" fontId="12" fillId="10" borderId="1" xfId="2" applyNumberFormat="1" applyFont="1" applyFill="1" applyBorder="1" applyAlignment="1">
      <alignment horizontal="center" vertical="center"/>
    </xf>
    <xf numFmtId="0" fontId="13" fillId="0" borderId="0" xfId="0" applyFont="1"/>
    <xf numFmtId="165" fontId="13" fillId="0" borderId="0" xfId="0" applyNumberFormat="1" applyFont="1"/>
    <xf numFmtId="0" fontId="0" fillId="11" borderId="1" xfId="0" applyFill="1" applyBorder="1" applyAlignment="1">
      <alignment horizontal="center"/>
    </xf>
    <xf numFmtId="0" fontId="0" fillId="12" borderId="1" xfId="0" applyFill="1" applyBorder="1" applyAlignment="1">
      <alignment horizontal="center" vertical="center"/>
    </xf>
    <xf numFmtId="0" fontId="0" fillId="0" borderId="0" xfId="0" applyAlignment="1">
      <alignment horizontal="center" vertical="center"/>
    </xf>
    <xf numFmtId="0" fontId="4" fillId="7" borderId="2" xfId="0" applyFont="1" applyFill="1" applyBorder="1"/>
    <xf numFmtId="164" fontId="4" fillId="7" borderId="1" xfId="1" applyNumberFormat="1" applyFont="1" applyFill="1" applyBorder="1" applyAlignment="1">
      <alignment horizontal="center" wrapText="1"/>
    </xf>
  </cellXfs>
  <cellStyles count="5">
    <cellStyle name="Accent1" xfId="2" builtinId="29"/>
    <cellStyle name="Accent2" xfId="3" builtinId="33"/>
    <cellStyle name="Currency" xfId="1" builtinId="4"/>
    <cellStyle name="Normal" xfId="0" builtinId="0"/>
    <cellStyle name="Percent" xfId="4" builtinId="5"/>
  </cellStyles>
  <dxfs count="14">
    <dxf>
      <font>
        <color theme="9"/>
      </font>
    </dxf>
    <dxf>
      <font>
        <color rgb="FFFF0000"/>
      </font>
    </dxf>
    <dxf>
      <font>
        <color rgb="FFFF0000"/>
      </font>
      <fill>
        <patternFill>
          <bgColor rgb="FFC6EFCE"/>
        </patternFill>
      </fill>
      <border>
        <left style="thin">
          <color rgb="FFFF0000"/>
        </left>
        <right style="thin">
          <color rgb="FFFF0000"/>
        </right>
        <top style="thin">
          <color rgb="FFFF0000"/>
        </top>
        <bottom style="thin">
          <color rgb="FFFF0000"/>
        </bottom>
      </border>
    </dxf>
    <dxf>
      <font>
        <color rgb="FF006100"/>
      </font>
      <fill>
        <patternFill>
          <bgColor theme="9" tint="0.79998168889431442"/>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F9FEC6"/>
      <color rgb="FFFFD3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openxmlformats.org/officeDocument/2006/relationships/calcChain" Target="calcChain.xml"/><Relationship Id="rId3" Type="http://schemas.openxmlformats.org/officeDocument/2006/relationships/theme" Target="theme/theme1.xml"/><Relationship Id="rId7" Type="http://schemas.microsoft.com/office/2017/06/relationships/rdRichValue" Target="richData/rdrichvalue.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microsoft.com/office/2017/06/relationships/rdSupportingPropertyBag" Target="richData/rdsupportingpropertybag.xml"/><Relationship Id="rId5" Type="http://schemas.openxmlformats.org/officeDocument/2006/relationships/sharedStrings" Target="sharedStrings.xml"/><Relationship Id="rId10" Type="http://schemas.microsoft.com/office/2017/06/relationships/rdSupportingPropertyBagStructure" Target="richData/rdsupportingpropertybagstructure.xml"/><Relationship Id="rId4" Type="http://schemas.openxmlformats.org/officeDocument/2006/relationships/styles" Target="styles.xml"/><Relationship Id="rId9"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3">
  <rv s="0">
    <v>https://www.bing.com/financeapi/forcetrigger?t=a1xygh&amp;q=XNAS%3aMRVL&amp;form=skydnc</v>
    <v>Learn more on Bing</v>
  </rv>
  <rv s="1">
    <v>en-US</v>
    <v>a1xygh</v>
    <v>268435456</v>
    <v>1</v>
    <v>Powered by Refinitiv</v>
    <v>0</v>
    <v>MARVELL TECHNOLOGY, INC. (XNAS:MRVL)</v>
    <v>2</v>
    <v>3</v>
    <v>Finance</v>
    <v>4</v>
    <v>329.88</v>
    <v>61.44</v>
    <v>2.2254</v>
    <v>-1.67</v>
    <v>1.003E-3</v>
    <v>-7.9150000000000002E-3</v>
    <v>0.21</v>
    <v>USD</v>
    <v>Marvell Technology, Inc. together with its consolidated subsidiaries, is a supplier of data infrastructure semiconductor solutions, spanning the data center core to network edge. It is engaged in the design, development and sale of integrated circuits. Its product offerings include custom application-specific integrated circuits (ASICs), interconnects, ethernet solutions, fiber channel adapters, processors and storage controllers. In addition, it is also developing Ultra Accelerator LinkTM (UALinkTM) switches and ethernet for scale-up networking (ESUN) switches for the emerging scale-out artificial intelligence market. Its solutions integrate multiple analogs, mixed-signal and digital intellectual property components incorporating hardware, firmware and software technologies and its system knowledge to provide its customers with integrated solutions for their end products. It designs and manufactures photonic integrated circuits for ultra-high-bandwidth and low-power applications.</v>
    <v>7480</v>
    <v>Nasdaq Stock Market</v>
    <v>XNAS</v>
    <v>XNAS</v>
    <v>1000 N. West Street, Suite 1200, WILMINGTON, DE, 19801 US</v>
    <v>214.56</v>
    <v>Semiconductors &amp; Semiconductor Equipment</v>
    <v>Stock</v>
    <v>46226.951731758592</v>
    <v>0</v>
    <v>205.02</v>
    <v>183315422848</v>
    <v>MARVELL TECHNOLOGY, INC.</v>
    <v>MARVELL TECHNOLOGY, INC.</v>
    <v>207.86</v>
    <v>71.697199999999995</v>
    <v>210.99</v>
    <v>209.32</v>
    <v>209.53</v>
    <v>875766400</v>
    <v>MRVL</v>
    <v>MARVELL TECHNOLOGY, INC. (XNAS:MRVL)</v>
    <v>16329803</v>
    <v>41625043</v>
    <v>2020</v>
  </rv>
  <rv s="2">
    <v>1</v>
  </rv>
  <rv s="0">
    <v>https://www.bing.com/financeapi/forcetrigger?t=a1yv52&amp;q=XNAS%3aNVDA&amp;form=skydnc</v>
    <v>Learn more on Bing</v>
  </rv>
  <rv s="1">
    <v>en-US</v>
    <v>a1yv52</v>
    <v>268435456</v>
    <v>1</v>
    <v>Powered by Refinitiv</v>
    <v>0</v>
    <v>NVIDIA CORPORATION (XNAS:NVDA)</v>
    <v>2</v>
    <v>3</v>
    <v>Finance</v>
    <v>4</v>
    <v>236.54</v>
    <v>164.07</v>
    <v>2.2187999999999999</v>
    <v>-3.3</v>
    <v>-2.3470000000000001E-3</v>
    <v>-1.5561999999999999E-2</v>
    <v>-0.49</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210.86869999999999</v>
    <v>Semiconductors &amp; Semiconductor Equipment</v>
    <v>Stock</v>
    <v>46226.951847835153</v>
    <v>3</v>
    <v>205.96</v>
    <v>5051992000000</v>
    <v>NVIDIA CORPORATION</v>
    <v>NVIDIA CORPORATION</v>
    <v>209.45500000000001</v>
    <v>31.9694</v>
    <v>212.06</v>
    <v>208.76</v>
    <v>208.27</v>
    <v>24200000000</v>
    <v>NVDA</v>
    <v>NVIDIA CORPORATION (XNAS:NVDA)</v>
    <v>110374068</v>
    <v>139598113</v>
    <v>1998</v>
  </rv>
  <rv s="2">
    <v>4</v>
  </rv>
  <rv s="0">
    <v>http://en.wikipedia.org/wiki/Public_domain</v>
    <v>Public domain</v>
  </rv>
  <rv s="0">
    <v>https://en.wikipedia.org/wiki/Microsoft</v>
    <v>Wikipedia</v>
  </rv>
  <rv s="3">
    <v>6</v>
    <v>7</v>
  </rv>
  <rv s="4">
    <v>9</v>
    <v>https://www.bing.com/th?id=AMMS_e6e837c7bf3a77408619758b7447855a&amp;qlt=95</v>
    <v>8</v>
    <v>0</v>
    <v>https://www.bing.com/images/search?form=xlimg&amp;q=microsoft</v>
    <v>Image of MICROSOFT CORPORATION</v>
  </rv>
  <rv s="0">
    <v>https://www.bing.com/financeapi/forcetrigger?t=a1xzim&amp;q=XNAS%3aMSFT&amp;form=skydnc</v>
    <v>Learn more on Bing</v>
  </rv>
  <rv s="5">
    <v>en-US</v>
    <v>a1xzim</v>
    <v>268435456</v>
    <v>1</v>
    <v>Powered by Refinitiv</v>
    <v>5</v>
    <v>MICROSOFT CORPORATION (XNAS:MSFT)</v>
    <v>7</v>
    <v>8</v>
    <v>Finance</v>
    <v>4</v>
    <v>555.45000000000005</v>
    <v>349.2</v>
    <v>1.1227</v>
    <v>-8.76</v>
    <v>3.8159999999999999E-3</v>
    <v>-2.2442000000000004E-2</v>
    <v>1.456</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391.78</v>
    <v>9</v>
    <v>Software &amp; IT Services</v>
    <v>Stock</v>
    <v>46226.951874293751</v>
    <v>10</v>
    <v>377.39</v>
    <v>2834542227300</v>
    <v>MICROSOFT CORPORATION</v>
    <v>MICROSOFT CORPORATION</v>
    <v>389.96499999999997</v>
    <v>23.248899999999999</v>
    <v>390.34</v>
    <v>381.58</v>
    <v>383.036</v>
    <v>7428435000</v>
    <v>MSFT</v>
    <v>MICROSOFT CORPORATION (XNAS:MSFT)</v>
    <v>30319599</v>
    <v>43640326</v>
    <v>1993</v>
  </rv>
  <rv s="2">
    <v>11</v>
  </rv>
  <rv s="0">
    <v>https://www.bing.com/financeapi/forcetrigger?t=a23hqh&amp;q=ARCX%3aSPY&amp;form=skydnc</v>
    <v>Learn more on Bing</v>
  </rv>
  <rv s="6">
    <v>en-US</v>
    <v>a23hqh</v>
    <v>268435456</v>
    <v>1</v>
    <v>Powered by Refinitiv</v>
    <v>10</v>
    <v>State Street SPDR S&amp;P500 (ARCX:SPY)</v>
    <v>11</v>
    <v>12</v>
    <v>Finance</v>
    <v>13</v>
    <v>760.4</v>
    <v>619.29</v>
    <v>0.99880000000000002</v>
    <v>-9.11</v>
    <v>9.0759999999999994E-4</v>
    <v>-1.2189E-2</v>
    <v>0.67</v>
    <v>USD</v>
    <v>NYSE Arca</v>
    <v>ARCX</v>
    <v>9.4499999999999998E-4</v>
    <v>742.56</v>
    <v>ETF</v>
    <v>46226.951871435158</v>
    <v>13</v>
    <v>735.21</v>
    <v>781188872106.76001</v>
    <v>State Street SPDR S&amp;P500</v>
    <v>739.37</v>
    <v>747.41</v>
    <v>738.3</v>
    <v>738.85</v>
    <v>SPY</v>
    <v>State Street SPDR S&amp;P500 (ARCX:SPY)</v>
    <v>55408088</v>
    <v>46666419</v>
  </rv>
  <rv s="2">
    <v>14</v>
  </rv>
  <rv s="0">
    <v>https://www.bing.com/financeapi/forcetrigger?t=c63zhw&amp;q=XNAS%3aNUBI&amp;form=skydnc</v>
    <v>Learn more on Bing</v>
  </rv>
  <rv s="1">
    <v>en-US</v>
    <v>c63zhw</v>
    <v>268435456</v>
    <v>1</v>
    <v>Powered by Refinitiv</v>
    <v>0</v>
    <v>SOLIDION TECHNOLOGY, INC. (XNAS:STI)</v>
    <v>2</v>
    <v>3</v>
    <v>Finance</v>
    <v>4</v>
    <v>46</v>
    <v>2.94</v>
    <v>-2.9000000000000001E-2</v>
    <v>0.28999999999999998</v>
    <v>-3.5088000000000001E-2</v>
    <v>4.4275000000000002E-2</v>
    <v>-0.24</v>
    <v>USD</v>
    <v>Solidion Technology, Inc. is an advanced battery technology company. The Company’s core business includes the manufacturing of battery materials and components, as well as the development and production of batteries for energy storage systems and electric vehicles for ground, air, and sea transportation. The Company specializes in high-performance silicon-rich anode materials, solid-state battery technology, and fire-retardant electrolytes. Its products include anode materials and battery cells. It is the inventor of graphene-enabled batteries, elastic polymer-protected batteries, quasi-solid electrolytes, elastomeric solid-state electrolytes, advanced polymer/inorganic hybrid electrolytes, and numerous other disruptive battery technologies. The Company holds a portfolio of over 550 patents, covering innovations such as high-capacity, silane gas-free and graphene-enabled silicon anodes, biomass-based graphite, advanced lithium-sulfur and lithium-metal technologies.</v>
    <v>22</v>
    <v>Nasdaq Stock Market</v>
    <v>XNAS</v>
    <v>XNAS</v>
    <v>13355 Noel Road, Suite 1100, DALLAS, TX, 75240 US</v>
    <v>7.04</v>
    <v>Machinery, Equipment &amp; Components</v>
    <v>Stock</v>
    <v>46226.948355589841</v>
    <v>16</v>
    <v>6.31</v>
    <v>58110451</v>
    <v>SOLIDION TECHNOLOGY, INC.</v>
    <v>SOLIDION TECHNOLOGY, INC.</v>
    <v>6.5</v>
    <v>0</v>
    <v>6.55</v>
    <v>6.84</v>
    <v>6.6</v>
    <v>8495680</v>
    <v>STI</v>
    <v>SOLIDION TECHNOLOGY, INC. (XNAS:STI)</v>
    <v>74349</v>
    <v>414777</v>
    <v>2021</v>
  </rv>
  <rv s="2">
    <v>17</v>
  </rv>
  <rv s="0">
    <v>https://www.bing.com/financeapi/forcetrigger?t=a25kec&amp;q=XNAS%3aVSAT&amp;form=skydnc</v>
    <v>Learn more on Bing</v>
  </rv>
  <rv s="1">
    <v>en-US</v>
    <v>a25kec</v>
    <v>268435456</v>
    <v>1</v>
    <v>Powered by Refinitiv</v>
    <v>0</v>
    <v>VIASAT, INC. (XNAS:VSAT)</v>
    <v>2</v>
    <v>3</v>
    <v>Finance</v>
    <v>14</v>
    <v>93.029899999999998</v>
    <v>14.115</v>
    <v>1.7242</v>
    <v>-0.1</v>
    <v>-2.6929999999999996E-3</v>
    <v>-1.3450000000000001E-3</v>
    <v>-0.2</v>
    <v>USD</v>
    <v>Viasat, Inc. is a global communications company. Its segments include communication services and defense and advanced technologies. The communication services segment provides a wide range of broadband and narrowband communications solutions across government and commercial mobility markets, as well as for residential and enterprise fixed broadband customers. In addition, this segment includes the development and sale of a wide array of advanced satellite and wireless products and terminals that support or enable the provision of fixed and mobile broadband and narrowband services. The defense and advanced technologies segment develop and offers a diverse array of resilient, vertically integrated solutions to government and commercial customers, leveraging its core technical competencies in encryption, cybersecurity, tactical gateways, modems and waveforms.</v>
    <v>7000</v>
    <v>Nasdaq Stock Market</v>
    <v>XNAS</v>
    <v>XNAS</v>
    <v>6155 El Camino Real, CARLSBAD, CA, 92009 US</v>
    <v>76.17</v>
    <v>Communications &amp; Networking</v>
    <v>Stock</v>
    <v>46226.940222661717</v>
    <v>19</v>
    <v>72.394499999999994</v>
    <v>10142979630</v>
    <v>VIASAT, INC.</v>
    <v>VIASAT, INC.</v>
    <v>72.84</v>
    <v>0</v>
    <v>74.37</v>
    <v>74.27</v>
    <v>74.069999999999993</v>
    <v>136569000</v>
    <v>VSAT</v>
    <v>VIASAT, INC. (XNAS:VSAT)</v>
    <v>1416370</v>
    <v>2922938</v>
    <v>1996</v>
  </rv>
  <rv s="2">
    <v>20</v>
  </rv>
  <rv s="0">
    <v>https://www.bing.com/financeapi/forcetrigger?t=a1pph7&amp;q=XNYS%3aCTOS&amp;form=skydnc</v>
    <v>Learn more on Bing</v>
  </rv>
  <rv s="7">
    <v>en-US</v>
    <v>a1pph7</v>
    <v>268435456</v>
    <v>1</v>
    <v>Powered by Refinitiv</v>
    <v>15</v>
    <v>CUSTOM TRUCK ONE SOURCE, INC. (XNYS:CTOS)</v>
    <v>2</v>
    <v>16</v>
    <v>Finance</v>
    <v>14</v>
    <v>12.23</v>
    <v>5.18</v>
    <v>1.3771</v>
    <v>0.35</v>
    <v>0</v>
    <v>3.3237999999999997E-2</v>
    <v>0</v>
    <v>USD</v>
    <v>Custom Truck One Source, Inc. is a provider of specialty equipment, parts, tools, accessories and services to the electric utility transmission and distribution, telecommunications and rail markets in North America. The Company’s segments include Equipment Rental Solutions (ERS), Truck and Equipment Sales (TES)and Aftermarket Parts and Services. The ERS segment owns a range of new and used specialty equipment, including truck-mounted aerial lifts, cranes, service trucks, dump trucks, trailers, digger derricks and other machinery and equipment. The TES segment consists of the production and sale of new and used specialty equipment and vocational trucks, which includes equipment from original equipment manufacturers (OEMs) across its end-markets, as well as its Load King brand. The APS segment includes the sale of specialized aftermarket parts, including captive parts related to its Load King brand, used in the maintenance and repair of the equipment it sells and rents.</v>
    <v>2500</v>
    <v>New York Stock Exchange</v>
    <v>XNYS</v>
    <v>XNYS</v>
    <v>7701 Independence Avenue, Suite 220, KANSAS CITY, MO, 64125 US</v>
    <v>10.98</v>
    <v>Specialty Retailers</v>
    <v>Stock</v>
    <v>46226.937500010936</v>
    <v>22</v>
    <v>10.414999999999999</v>
    <v>2474468864</v>
    <v>CUSTOM TRUCK ONE SOURCE, INC.</v>
    <v>CUSTOM TRUCK ONE SOURCE, INC.</v>
    <v>10.42</v>
    <v>10.53</v>
    <v>10.88</v>
    <v>10.88</v>
    <v>227432800</v>
    <v>CTOS</v>
    <v>CUSTOM TRUCK ONE SOURCE, INC. (XNYS:CTOS)</v>
    <v>914501</v>
    <v>1065491</v>
    <v>2019</v>
  </rv>
  <rv s="2">
    <v>23</v>
  </rv>
  <rv s="0">
    <v>https://www.bing.com/financeapi/forcetrigger?t=a21icw&amp;q=XNAS%3aPYPL&amp;form=skydnc</v>
    <v>Learn more on Bing</v>
  </rv>
  <rv s="1">
    <v>en-US</v>
    <v>a21icw</v>
    <v>268435456</v>
    <v>1</v>
    <v>Powered by Refinitiv</v>
    <v>0</v>
    <v>PAYPAL HOLDINGS, INC. (XNAS:PYPL)</v>
    <v>2</v>
    <v>3</v>
    <v>Finance</v>
    <v>4</v>
    <v>79.5</v>
    <v>38.46</v>
    <v>1.3107</v>
    <v>0.49</v>
    <v>-1.6428999999999999E-2</v>
    <v>8.8269999999999998E-3</v>
    <v>-0.92</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23800</v>
    <v>Nasdaq Stock Market</v>
    <v>XNAS</v>
    <v>XNAS</v>
    <v>2211 N 1st St, SAN JOSE, CA, 95131 US</v>
    <v>56.08</v>
    <v>Professional &amp; Commercial Services</v>
    <v>Stock</v>
    <v>46226.949220300783</v>
    <v>25</v>
    <v>54.935000000000002</v>
    <v>49397908000</v>
    <v>PAYPAL HOLDINGS, INC.</v>
    <v>PAYPAL HOLDINGS, INC.</v>
    <v>55.475000000000001</v>
    <v>10.390599999999999</v>
    <v>55.51</v>
    <v>56</v>
    <v>55.08</v>
    <v>882105500</v>
    <v>PYPL</v>
    <v>PAYPAL HOLDINGS, INC. (XNAS:PYPL)</v>
    <v>13898090</v>
    <v>19921568</v>
    <v>2015</v>
  </rv>
  <rv s="2">
    <v>26</v>
  </rv>
  <rv s="0">
    <v>https://www.bing.com/financeapi/forcetrigger?t=bsmyr7&amp;q=XNAS%3aASTS&amp;form=skydnc</v>
    <v>Learn more on Bing</v>
  </rv>
  <rv s="1">
    <v>en-US</v>
    <v>bsmyr7</v>
    <v>268435456</v>
    <v>1</v>
    <v>Powered by Refinitiv</v>
    <v>0</v>
    <v>AST SPACEMOBILE, INC. (XNAS:ASTS)</v>
    <v>2</v>
    <v>3</v>
    <v>Finance</v>
    <v>4</v>
    <v>133.85990000000001</v>
    <v>36.08</v>
    <v>2.7378</v>
    <v>-2.77</v>
    <v>3.7170000000000004E-4</v>
    <v>-4.4713000000000003E-2</v>
    <v>2.1999999999999999E-2</v>
    <v>USD</v>
    <v>AST SpaceMobile, Inc. is engaged in building a global cellular broadband network in space to operate directly with standard, unmodified mobile devices based on its intellectual property (IP) and patent portfolio and designed for both commercial and government applications. The Company is engaged in designing and developing the constellation of BlueBird (BB) satellites and has planned a space-based Cellular Broadband network distributed through a constellation of low Earth orbit (LEO) satellites. Its SpaceMobile Service is being designed to provide high-speed cellular broadband services to end-users who are out of terrestrial cellular coverage using existing mobile devices. The Company intends to continue testing capabilities of the BW3 test satellite, including further testing with cellular service providers and the government. The Company has operations in India, Scotland, Spain, and Israel.</v>
    <v>1126</v>
    <v>Nasdaq Stock Market</v>
    <v>XNAS</v>
    <v>XNAS</v>
    <v>Midland Intl. Air &amp; Space Port, 2901 Enterprise Lane, MIDLAND, TX, 79706 US</v>
    <v>62.83</v>
    <v>Telecommunications Services</v>
    <v>Stock</v>
    <v>46226.951826700781</v>
    <v>28</v>
    <v>57.66</v>
    <v>22969213828</v>
    <v>AST SPACEMOBILE, INC.</v>
    <v>AST SPACEMOBILE, INC.</v>
    <v>59.97</v>
    <v>0</v>
    <v>61.95</v>
    <v>59.18</v>
    <v>59.201999999999998</v>
    <v>388124600</v>
    <v>ASTS</v>
    <v>AST SPACEMOBILE, INC. (XNAS:ASTS)</v>
    <v>11936718</v>
    <v>20501178</v>
    <v>2019</v>
  </rv>
  <rv s="2">
    <v>29</v>
  </rv>
  <rv s="8">
    <v>en-US</v>
    <v>d8uapr</v>
    <v>268435456</v>
    <v>1</v>
    <v>Powered by Refinitiv</v>
    <v>17</v>
    <v>SPACE EXPLORATION TECHNOLOGIES CORP. (XNAS:SPCX)</v>
    <v>18</v>
    <v>19</v>
    <v>Finance</v>
    <v>4</v>
    <v>225.64</v>
    <v>110.85</v>
    <v>2.98</v>
    <v>-2.1831E-2</v>
    <v>2.5855000000000003E-2</v>
    <v>-2.5813000000000001</v>
    <v>USD</v>
    <v>Space Exploration Technologies Corp. designs, manufactures, launches, and operates products and services built on technologies, including rockets and spacecraft. The Company's segments include Space, Connectivity, and artificial intelligence (AI). Its Space segment designs, manufactures, and launches reusable rockets to provide access to space. Its Connectivity segment operates broadband data and communications network powered by approximately 9,600 Starlink broadband and mobile satellites in Low-Earth orbit, delivering connectivity to consumer, enterprises, and government customers over 164 countries, territories, and other markets. In its AI segment, it operates a vertically integrated AI platform spanning its truth-seeking frontier model Grok, AI solutions for consumer and enterprise customers, X-its real-time information, entertainment, and free speech platform and AI computational infrastructure.</v>
    <v>22621</v>
    <v>Nasdaq Stock Market</v>
    <v>XNAS</v>
    <v>XNAS</v>
    <v>1 Rocket Road, Starbase, TX, 78521 US</v>
    <v>118.55</v>
    <v>Telecommunications Services</v>
    <v>Stock</v>
    <v>46226.951895983591</v>
    <v>110.85</v>
    <v>1555943808000</v>
    <v>SPACE EXPLORATION TECHNOLOGIES CORP.</v>
    <v>SPACE EXPLORATION TECHNOLOGIES CORP.</v>
    <v>115.205</v>
    <v>0</v>
    <v>115.26</v>
    <v>118.24</v>
    <v>115.6587</v>
    <v>13159200000</v>
    <v>SPCX</v>
    <v>SPACE EXPLORATION TECHNOLOGIES CORP. (XNAS:SPCX)</v>
    <v>74962040</v>
    <v>107824235</v>
    <v>2024</v>
  </rv>
  <rv s="2">
    <v>31</v>
  </rv>
</rvData>
</file>

<file path=xl/richData/rdrichvaluestructure.xml><?xml version="1.0" encoding="utf-8"?>
<rvStructures xmlns="http://schemas.microsoft.com/office/spreadsheetml/2017/richdata" count="9">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Exchange" t="s"/>
    <k n="Exchange abbreviation" t="s"/>
    <k n="Expense ratio"/>
    <k n="High"/>
    <k n="Instrument type" t="s"/>
    <k n="Last trade time"/>
    <k n="LearnMoreOnLink" t="r"/>
    <k n="Low"/>
    <k n="Market cap"/>
    <k n="Name" t="s"/>
    <k n="Open"/>
    <k n="Previous close"/>
    <k n="Price"/>
    <k n="Price (Extended hours)"/>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Extended hours)"/>
    <k n="Change (%)"/>
    <k n="Change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5">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7">
      <v t="s">%EntityServiceId</v>
      <v t="s">_Format</v>
      <v t="s">%IsRefreshable</v>
      <v t="s">%EntityCulture</v>
      <v t="s">%EntityId</v>
      <v t="s">_Icon</v>
      <v t="s">_Display</v>
      <v t="s">Name</v>
      <v t="s">_SubLabel</v>
      <v t="s">Price</v>
      <v t="s">Price (Extended hours)</v>
      <v t="s">Exchange</v>
      <v t="s">Last trade time</v>
      <v t="s">Ticker symbol</v>
      <v t="s">Exchange abbreviation</v>
      <v t="s">Change</v>
      <v t="s">Change (Extended hours)</v>
      <v t="s">Expense ratio</v>
      <v t="s">Change (%)</v>
      <v t="s">Change % (Extended hours)</v>
      <v t="s">Currency</v>
      <v t="s">Previous close</v>
      <v t="s">Open</v>
      <v t="s">High</v>
      <v t="s">Low</v>
      <v t="s">52 week high</v>
      <v t="s">52 week low</v>
      <v t="s">Volume</v>
      <v t="s">Volume average</v>
      <v t="s">Market cap</v>
      <v t="s">Beta</v>
      <v t="s">Instrument type</v>
      <v t="s">_Flags</v>
      <v t="s">UniqueName</v>
      <v t="s">_DisplayString</v>
      <v t="s">LearnMoreOnLink</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P/E</v>
      <v t="s">Shares outstanding</v>
      <v t="s">Description</v>
      <v t="s">Employees</v>
      <v t="s">Headquarters</v>
      <v t="s">Industry</v>
      <v t="s">Instrument type</v>
      <v t="s">Year incorporated</v>
      <v t="s">_Flags</v>
      <v t="s">UniqueName</v>
      <v t="s">_DisplayString</v>
      <v t="s">ExchangeID</v>
      <v t="s">%ProviderInfo</v>
    </a>
  </spbArrays>
  <spbData count="20">
    <spb s="0">
      <v>0</v>
      <v>Name</v>
      <v>LearnMoreOnLink</v>
    </spb>
    <spb s="1">
      <v>0</v>
      <v>0</v>
      <v>0</v>
    </spb>
    <spb s="2">
      <v>1</v>
      <v>1</v>
      <v>1</v>
      <v>1</v>
    </spb>
    <spb s="3">
      <v>1</v>
      <v>2</v>
      <v>2</v>
      <v>1</v>
      <v>3</v>
      <v>1</v>
      <v>1</v>
      <v>1</v>
      <v>4</v>
      <v>4</v>
      <v>5</v>
      <v>6</v>
      <v>1</v>
      <v>1</v>
      <v>1</v>
      <v>4</v>
      <v>7</v>
      <v>8</v>
      <v>9</v>
      <v>4</v>
      <v>1</v>
      <v>1</v>
      <v>5</v>
    </spb>
    <spb s="4">
      <v>at close</v>
      <v>from previous close</v>
      <v>from previous close</v>
      <v>Source: Nasdaq Last Sale</v>
      <v>GMT</v>
      <v>Real-Time Nasdaq Last Sale</v>
      <v>from close</v>
      <v>from close</v>
    </spb>
    <spb s="0">
      <v>1</v>
      <v>Name</v>
      <v>LearnMoreOnLink</v>
    </spb>
    <spb s="5">
      <v>0</v>
      <v>0</v>
    </spb>
    <spb s="6">
      <v>6</v>
      <v>1</v>
      <v>1</v>
      <v>1</v>
      <v>1</v>
    </spb>
    <spb s="7">
      <v>1</v>
      <v>2</v>
      <v>2</v>
      <v>1</v>
      <v>3</v>
      <v>1</v>
      <v>10</v>
      <v>1</v>
      <v>1</v>
      <v>4</v>
      <v>4</v>
      <v>5</v>
      <v>6</v>
      <v>1</v>
      <v>1</v>
      <v>1</v>
      <v>4</v>
      <v>7</v>
      <v>8</v>
      <v>9</v>
      <v>4</v>
      <v>1</v>
      <v>1</v>
      <v>5</v>
    </spb>
    <spb s="8">
      <v>Powered by Refinitiv</v>
    </spb>
    <spb s="0">
      <v>2</v>
      <v>Name</v>
      <v>LearnMoreOnLink</v>
    </spb>
    <spb s="9">
      <v>1</v>
      <v>1</v>
      <v>1</v>
    </spb>
    <spb s="10">
      <v>1</v>
      <v>2</v>
      <v>1</v>
      <v>3</v>
      <v>1</v>
      <v>1</v>
      <v>1</v>
      <v>4</v>
      <v>5</v>
      <v>6</v>
      <v>1</v>
      <v>1</v>
      <v>5</v>
      <v>1</v>
      <v>4</v>
      <v>7</v>
      <v>9</v>
      <v>1</v>
      <v>1</v>
      <v>5</v>
    </spb>
    <spb s="11">
      <v>at close</v>
      <v>from previous close</v>
      <v>Source: Nasdaq Last Sale</v>
      <v>from previous close</v>
      <v>GMT</v>
      <v>Real-Time Nasdaq Last Sale</v>
      <v>from close</v>
      <v>from close</v>
    </spb>
    <spb s="4">
      <v>at close</v>
      <v>from previous close</v>
      <v>from previous close</v>
      <v>Source: Nasdaq</v>
      <v>GMT</v>
      <v>Delayed 15 minutes</v>
      <v>from close</v>
      <v>from close</v>
    </spb>
    <spb s="0">
      <v>3</v>
      <v>Name</v>
      <v>LearnMoreOnLink</v>
    </spb>
    <spb s="12">
      <v>1</v>
      <v>2</v>
      <v>1</v>
      <v>3</v>
      <v>1</v>
      <v>1</v>
      <v>1</v>
      <v>4</v>
      <v>4</v>
      <v>5</v>
      <v>6</v>
      <v>1</v>
      <v>1</v>
      <v>1</v>
      <v>4</v>
      <v>7</v>
      <v>8</v>
      <v>9</v>
      <v>4</v>
      <v>1</v>
      <v>1</v>
      <v>5</v>
    </spb>
    <spb s="13">
      <v>4</v>
      <v>Name</v>
    </spb>
    <spb s="14">
      <v>1</v>
      <v>1</v>
      <v>1</v>
    </spb>
    <spb s="15">
      <v>1</v>
      <v>2</v>
      <v>1</v>
      <v>3</v>
      <v>1</v>
      <v>1</v>
      <v>1</v>
      <v>4</v>
      <v>4</v>
      <v>5</v>
      <v>6</v>
      <v>1</v>
      <v>1</v>
      <v>1</v>
      <v>4</v>
      <v>7</v>
      <v>8</v>
      <v>9</v>
      <v>4</v>
      <v>1</v>
      <v>1</v>
      <v>5</v>
    </spb>
  </spbData>
</supportingPropertyBags>
</file>

<file path=xl/richData/rdsupportingpropertybagstructure.xml><?xml version="1.0" encoding="utf-8"?>
<spbStructures xmlns="http://schemas.microsoft.com/office/spreadsheetml/2017/richdata2" count="1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k n="Price (Extended hours)" t="i"/>
    <k n="Change (Extended hours)" t="i"/>
    <k n="Change % (Extended hours)" t="i"/>
  </s>
  <s>
    <k n="Price" t="s"/>
    <k n="Change" t="s"/>
    <k n="Exchange" t="s"/>
    <k n="Change (%)" t="s"/>
    <k n="Last trade time" t="s"/>
    <k n="Price (Extended hours)" t="s"/>
    <k n="Change (Extended hours)" t="s"/>
    <k n="Change % (Extended hours)"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Order" t="spba"/>
    <k n="TitleProperty" t="s"/>
  </s>
  <s>
    <k n="ExchangeID" t="spb"/>
    <k n="UniqueName" t="spb"/>
    <k n="`%ProviderInfo" t="spb"/>
  </s>
  <s>
    <k n="Low" t="i"/>
    <k n="P/E"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45EF1-CD10-4FEE-AA80-02FA6B981877}">
  <dimension ref="A1:M22"/>
  <sheetViews>
    <sheetView tabSelected="1" workbookViewId="0">
      <selection activeCell="D24" sqref="D24"/>
    </sheetView>
  </sheetViews>
  <sheetFormatPr defaultRowHeight="14.5"/>
  <cols>
    <col min="1" max="1" width="19.6328125" bestFit="1" customWidth="1"/>
    <col min="2" max="11" width="11.54296875" customWidth="1"/>
  </cols>
  <sheetData>
    <row r="1" spans="1:13">
      <c r="A1" t="s">
        <v>2</v>
      </c>
      <c r="B1" s="3" t="e" vm="1">
        <v>#VALUE!</v>
      </c>
      <c r="C1" s="5" t="e" vm="2">
        <v>#VALUE!</v>
      </c>
      <c r="D1" s="3" t="e" vm="3">
        <v>#VALUE!</v>
      </c>
      <c r="E1" s="5" t="e" vm="4">
        <v>#VALUE!</v>
      </c>
      <c r="F1" s="3" t="e" vm="5">
        <v>#VALUE!</v>
      </c>
      <c r="G1" s="5" t="e" vm="6">
        <v>#VALUE!</v>
      </c>
      <c r="H1" s="3" t="e" vm="7">
        <v>#VALUE!</v>
      </c>
      <c r="I1" s="5" t="e" vm="8">
        <v>#VALUE!</v>
      </c>
      <c r="J1" s="3" t="e" vm="9">
        <v>#VALUE!</v>
      </c>
      <c r="K1" s="30" t="e" vm="10">
        <v>#VALUE!</v>
      </c>
      <c r="M1" s="17" t="s">
        <v>6</v>
      </c>
    </row>
    <row r="2" spans="1:13">
      <c r="A2" s="2" t="s">
        <v>4</v>
      </c>
      <c r="B2" s="1" t="str" cm="1">
        <f t="array" aca="1" ref="B2" ca="1">IFERROR(_FV(B1,"Ticker symbol",TRUE),"")</f>
        <v>MRVL</v>
      </c>
      <c r="C2" s="1" t="str" cm="1">
        <f t="array" aca="1" ref="C2" ca="1">IFERROR(_FV(C1,"Ticker symbol",TRUE),"")</f>
        <v>NVDA</v>
      </c>
      <c r="D2" s="1" t="str" cm="1">
        <f t="array" aca="1" ref="D2" ca="1">IFERROR(_FV(D1,"Ticker symbol",TRUE),"")</f>
        <v>MSFT</v>
      </c>
      <c r="E2" s="1" t="str" cm="1">
        <f t="array" aca="1" ref="E2" ca="1">IFERROR(_FV(E1,"Ticker symbol",TRUE),"")</f>
        <v>SPY</v>
      </c>
      <c r="F2" s="1" t="str" cm="1">
        <f t="array" aca="1" ref="F2" ca="1">IFERROR(_FV(F1,"Ticker symbol",TRUE),"")</f>
        <v>STI</v>
      </c>
      <c r="G2" s="1" t="str" cm="1">
        <f t="array" aca="1" ref="G2" ca="1">IFERROR(_FV(G1,"Ticker symbol",TRUE),"")</f>
        <v>VSAT</v>
      </c>
      <c r="H2" s="1" t="str" cm="1">
        <f t="array" aca="1" ref="H2" ca="1">IFERROR(_FV(H1,"Ticker symbol",TRUE),"")</f>
        <v>CTOS</v>
      </c>
      <c r="I2" s="1" t="str" cm="1">
        <f t="array" aca="1" ref="I2" ca="1">IFERROR(_FV(I1,"Ticker symbol",TRUE),"")</f>
        <v>PYPL</v>
      </c>
      <c r="J2" s="1" t="str" cm="1">
        <f t="array" aca="1" ref="J2" ca="1">IFERROR(_FV(J1,"Ticker symbol",TRUE),"")</f>
        <v>ASTS</v>
      </c>
      <c r="K2" s="31" t="str" cm="1">
        <f t="array" aca="1" ref="K2" ca="1">IFERROR(_FV(K1,"Ticker symbol",TRUE),"")</f>
        <v>SPCX</v>
      </c>
    </row>
    <row r="3" spans="1:13">
      <c r="A3" s="2" t="s">
        <v>3</v>
      </c>
      <c r="B3" s="4">
        <v>220</v>
      </c>
      <c r="C3" s="5" cm="1">
        <f t="array" aca="1" ref="C3" ca="1">IFERROR(_FV(C1,"Price"),"")</f>
        <v>208.76</v>
      </c>
      <c r="D3" s="4" cm="1">
        <f t="array" aca="1" ref="D3" ca="1">IFERROR(_FV(D1,"Price"),"")</f>
        <v>381.58</v>
      </c>
      <c r="E3" s="5" cm="1">
        <f t="array" aca="1" ref="E3" ca="1">IFERROR(_FV(E1,"Price"),"")</f>
        <v>738.3</v>
      </c>
      <c r="F3" s="4" cm="1">
        <f t="array" aca="1" ref="F3" ca="1">IFERROR(_FV(F1,"Price"),"")</f>
        <v>6.84</v>
      </c>
      <c r="G3" s="5" cm="1">
        <f t="array" aca="1" ref="G3" ca="1">IFERROR(_FV(G1,"Price"),"")</f>
        <v>74.27</v>
      </c>
      <c r="H3" s="4" cm="1">
        <f t="array" aca="1" ref="H3" ca="1">IFERROR(_FV(H1,"Price"),"")</f>
        <v>10.88</v>
      </c>
      <c r="I3" s="5" cm="1">
        <f t="array" aca="1" ref="I3" ca="1">IFERROR(_FV(I1,"Price"),"")</f>
        <v>56</v>
      </c>
      <c r="J3" s="4" cm="1">
        <f t="array" aca="1" ref="J3" ca="1">IFERROR(_FV(J1,"Price"),"")</f>
        <v>59.18</v>
      </c>
      <c r="K3" s="30" cm="1">
        <f t="array" aca="1" ref="K3" ca="1">IFERROR(_FV(K1,"Price"),"")</f>
        <v>118.24</v>
      </c>
    </row>
    <row r="4" spans="1:13" s="46" customFormat="1">
      <c r="A4" s="2" t="s">
        <v>1</v>
      </c>
      <c r="B4" s="45">
        <v>205.57</v>
      </c>
      <c r="C4" s="45">
        <v>207.33</v>
      </c>
      <c r="D4" s="45">
        <v>396.45</v>
      </c>
      <c r="E4" s="45">
        <v>753.98</v>
      </c>
      <c r="F4" s="45">
        <v>8.48</v>
      </c>
      <c r="G4" s="45">
        <v>75.44</v>
      </c>
      <c r="H4" s="45">
        <v>10.43</v>
      </c>
      <c r="I4" s="45">
        <v>54.66</v>
      </c>
      <c r="J4" s="45">
        <v>59.22</v>
      </c>
      <c r="K4" s="45">
        <v>122.41</v>
      </c>
      <c r="M4" s="47"/>
    </row>
    <row r="5" spans="1:13">
      <c r="A5" s="2" t="s">
        <v>0</v>
      </c>
      <c r="B5" s="6">
        <v>20</v>
      </c>
      <c r="C5" s="6">
        <v>34.700000000000003</v>
      </c>
      <c r="D5" s="6">
        <v>1.49</v>
      </c>
      <c r="E5" s="6">
        <v>12.06</v>
      </c>
      <c r="F5" s="6">
        <v>14.95</v>
      </c>
      <c r="G5" s="6">
        <v>5.18</v>
      </c>
      <c r="H5" s="6">
        <v>10.43</v>
      </c>
      <c r="I5" s="6">
        <v>2.76</v>
      </c>
      <c r="J5" s="6">
        <v>5.45</v>
      </c>
      <c r="K5" s="6">
        <v>20</v>
      </c>
      <c r="M5" s="16">
        <f>SUM(B5:K5)</f>
        <v>127.02000000000001</v>
      </c>
    </row>
    <row r="6" spans="1:13">
      <c r="A6" s="2" t="s">
        <v>5</v>
      </c>
      <c r="B6" s="12">
        <f t="shared" ref="B6:K6" si="0">IFERROR(B5/B4,"")</f>
        <v>9.7290460670331272E-2</v>
      </c>
      <c r="C6" s="12">
        <f t="shared" si="0"/>
        <v>0.16736603482371099</v>
      </c>
      <c r="D6" s="12">
        <f t="shared" si="0"/>
        <v>3.758355404212385E-3</v>
      </c>
      <c r="E6" s="12">
        <f t="shared" si="0"/>
        <v>1.5995119233931935E-2</v>
      </c>
      <c r="F6" s="12">
        <f t="shared" si="0"/>
        <v>1.7629716981132073</v>
      </c>
      <c r="G6" s="12">
        <f t="shared" si="0"/>
        <v>6.8663838812301162E-2</v>
      </c>
      <c r="H6" s="12">
        <f t="shared" si="0"/>
        <v>1</v>
      </c>
      <c r="I6" s="12">
        <f t="shared" si="0"/>
        <v>5.0493962678375408E-2</v>
      </c>
      <c r="J6" s="12">
        <f t="shared" si="0"/>
        <v>9.2029719689294159E-2</v>
      </c>
      <c r="K6" s="12">
        <f t="shared" si="0"/>
        <v>0.16338534433461319</v>
      </c>
      <c r="M6" s="15"/>
    </row>
    <row r="7" spans="1:13">
      <c r="A7" s="2" t="s">
        <v>10</v>
      </c>
      <c r="B7" s="19">
        <f t="shared" ref="B7:K7" si="1">B6*B3</f>
        <v>21.403901347472878</v>
      </c>
      <c r="C7" s="19">
        <f t="shared" ca="1" si="1"/>
        <v>34.939333429797905</v>
      </c>
      <c r="D7" s="19">
        <f t="shared" ca="1" si="1"/>
        <v>1.4341132551393618</v>
      </c>
      <c r="E7" s="19">
        <f t="shared" ca="1" si="1"/>
        <v>11.809196530411947</v>
      </c>
      <c r="F7" s="19">
        <f t="shared" ca="1" si="1"/>
        <v>12.058726415094338</v>
      </c>
      <c r="G7" s="19">
        <f t="shared" ca="1" si="1"/>
        <v>5.0996633085896068</v>
      </c>
      <c r="H7" s="19">
        <f t="shared" ca="1" si="1"/>
        <v>10.88</v>
      </c>
      <c r="I7" s="19">
        <f t="shared" ca="1" si="1"/>
        <v>2.8276619099890228</v>
      </c>
      <c r="J7" s="19">
        <f t="shared" ca="1" si="1"/>
        <v>5.4463188112124286</v>
      </c>
      <c r="K7" s="19">
        <f t="shared" ca="1" si="1"/>
        <v>19.318683114124664</v>
      </c>
      <c r="M7" s="15"/>
    </row>
    <row r="8" spans="1:13">
      <c r="A8" s="2" t="s">
        <v>11</v>
      </c>
      <c r="B8" s="23">
        <f>B7-B5</f>
        <v>1.4039013474728783</v>
      </c>
      <c r="C8" s="23">
        <f t="shared" ref="C8:K8" ca="1" si="2">C7-C5</f>
        <v>0.2393334297979024</v>
      </c>
      <c r="D8" s="23">
        <f t="shared" ca="1" si="2"/>
        <v>-5.588674486063816E-2</v>
      </c>
      <c r="E8" s="23">
        <f t="shared" ca="1" si="2"/>
        <v>-0.25080346958805322</v>
      </c>
      <c r="F8" s="23">
        <f t="shared" ca="1" si="2"/>
        <v>-2.8912735849056617</v>
      </c>
      <c r="G8" s="23">
        <f t="shared" ca="1" si="2"/>
        <v>-8.0336691410392902E-2</v>
      </c>
      <c r="H8" s="23">
        <f t="shared" ca="1" si="2"/>
        <v>0.45000000000000107</v>
      </c>
      <c r="I8" s="23">
        <f t="shared" ca="1" si="2"/>
        <v>6.7661909989022995E-2</v>
      </c>
      <c r="J8" s="23">
        <f t="shared" ca="1" si="2"/>
        <v>-3.6811887875716209E-3</v>
      </c>
      <c r="K8" s="23">
        <f t="shared" ca="1" si="2"/>
        <v>-0.68131688587533645</v>
      </c>
      <c r="M8" s="16">
        <f ca="1">SUM(B8:K8)</f>
        <v>-1.8024018781678492</v>
      </c>
    </row>
    <row r="9" spans="1:13">
      <c r="A9" s="2" t="s">
        <v>13</v>
      </c>
      <c r="B9" s="11">
        <v>0.03</v>
      </c>
      <c r="C9" s="11">
        <v>0.03</v>
      </c>
      <c r="D9" s="11">
        <v>0.03</v>
      </c>
      <c r="E9" s="11">
        <v>0.03</v>
      </c>
      <c r="F9" s="11">
        <v>0.03</v>
      </c>
      <c r="G9" s="11">
        <v>0.03</v>
      </c>
      <c r="H9" s="11">
        <v>0.03</v>
      </c>
      <c r="I9" s="11">
        <v>0.03</v>
      </c>
      <c r="J9" s="11">
        <v>0.03</v>
      </c>
      <c r="K9" s="11">
        <v>0.03</v>
      </c>
      <c r="M9" s="15"/>
    </row>
    <row r="10" spans="1:13">
      <c r="A10" s="2" t="s">
        <v>9</v>
      </c>
      <c r="B10" s="11">
        <v>0.2</v>
      </c>
      <c r="C10" s="11">
        <v>0.2</v>
      </c>
      <c r="D10" s="11">
        <v>0.2</v>
      </c>
      <c r="E10" s="11">
        <v>0.2</v>
      </c>
      <c r="F10" s="11">
        <v>0.2</v>
      </c>
      <c r="G10" s="11">
        <v>0.2</v>
      </c>
      <c r="H10" s="11">
        <v>0.2</v>
      </c>
      <c r="I10" s="11">
        <v>0.2</v>
      </c>
      <c r="J10" s="11">
        <v>0.2</v>
      </c>
      <c r="K10" s="11">
        <v>0.2</v>
      </c>
      <c r="M10" s="15"/>
    </row>
    <row r="11" spans="1:13">
      <c r="A11" s="2" t="s">
        <v>8</v>
      </c>
      <c r="B11" s="19">
        <f t="shared" ref="B11" si="3">MAX(1,B5*0.005)</f>
        <v>1</v>
      </c>
      <c r="C11" s="19">
        <f t="shared" ref="C11:K11" si="4">MAX(1,C5*0.005)</f>
        <v>1</v>
      </c>
      <c r="D11" s="19">
        <f t="shared" si="4"/>
        <v>1</v>
      </c>
      <c r="E11" s="19">
        <f t="shared" si="4"/>
        <v>1</v>
      </c>
      <c r="F11" s="19">
        <f t="shared" si="4"/>
        <v>1</v>
      </c>
      <c r="G11" s="19">
        <f t="shared" si="4"/>
        <v>1</v>
      </c>
      <c r="H11" s="19">
        <f t="shared" si="4"/>
        <v>1</v>
      </c>
      <c r="I11" s="19">
        <f t="shared" si="4"/>
        <v>1</v>
      </c>
      <c r="J11" s="19">
        <f t="shared" si="4"/>
        <v>1</v>
      </c>
      <c r="K11" s="19">
        <f t="shared" si="4"/>
        <v>1</v>
      </c>
      <c r="M11" s="15"/>
    </row>
    <row r="12" spans="1:13" s="43" customFormat="1">
      <c r="A12" s="39" t="s">
        <v>27</v>
      </c>
      <c r="B12" s="40"/>
      <c r="C12" s="41" t="s">
        <v>28</v>
      </c>
      <c r="D12" s="40"/>
      <c r="E12" s="40"/>
      <c r="F12" s="40"/>
      <c r="G12" s="40"/>
      <c r="H12" s="40"/>
      <c r="I12" s="40"/>
      <c r="J12" s="40"/>
      <c r="K12" s="42"/>
      <c r="M12" s="44"/>
    </row>
    <row r="13" spans="1:13">
      <c r="A13" s="2" t="s">
        <v>22</v>
      </c>
      <c r="B13" s="13">
        <f t="shared" ref="B13" si="5">B4+(B11/(B6*B10))</f>
        <v>256.96249999999998</v>
      </c>
      <c r="C13" s="13">
        <f t="shared" ref="C13:K13" si="6">C4+(C11/(C6*C10))</f>
        <v>237.20463976945246</v>
      </c>
      <c r="D13" s="13">
        <f t="shared" si="6"/>
        <v>1726.8191275167785</v>
      </c>
      <c r="E13" s="13">
        <f t="shared" si="6"/>
        <v>1066.5753565505804</v>
      </c>
      <c r="F13" s="13">
        <f t="shared" si="6"/>
        <v>11.316120401337793</v>
      </c>
      <c r="G13" s="13">
        <f t="shared" si="6"/>
        <v>148.25853281853281</v>
      </c>
      <c r="H13" s="13">
        <f t="shared" si="6"/>
        <v>15.43</v>
      </c>
      <c r="I13" s="13">
        <f t="shared" si="6"/>
        <v>153.68173913043478</v>
      </c>
      <c r="J13" s="13">
        <f t="shared" si="6"/>
        <v>113.55027522935779</v>
      </c>
      <c r="K13" s="13">
        <f t="shared" si="6"/>
        <v>153.01249999999999</v>
      </c>
      <c r="M13" s="15"/>
    </row>
    <row r="14" spans="1:13">
      <c r="A14" s="2" t="s">
        <v>23</v>
      </c>
      <c r="B14" s="14" cm="1">
        <f t="array" aca="1" ref="B14" ca="1">_FV(B1,"Previous close",TRUE)</f>
        <v>210.99</v>
      </c>
      <c r="C14" s="14" cm="1">
        <f t="array" aca="1" ref="C14" ca="1">_FV(C1,"Previous close",TRUE)</f>
        <v>212.06</v>
      </c>
      <c r="D14" s="14" cm="1">
        <f t="array" aca="1" ref="D14" ca="1">_FV(D1,"Previous close",TRUE)</f>
        <v>390.34</v>
      </c>
      <c r="E14" s="14" cm="1">
        <f t="array" aca="1" ref="E14" ca="1">_FV(E1,"Previous close",TRUE)</f>
        <v>747.41</v>
      </c>
      <c r="F14" s="14" cm="1">
        <f t="array" aca="1" ref="F14" ca="1">_FV(F1,"Previous close",TRUE)</f>
        <v>6.55</v>
      </c>
      <c r="G14" s="14" cm="1">
        <f t="array" aca="1" ref="G14" ca="1">_FV(G1,"Previous close",TRUE)</f>
        <v>74.37</v>
      </c>
      <c r="H14" s="14" cm="1">
        <f t="array" aca="1" ref="H14" ca="1">_FV(H1,"Previous close",TRUE)</f>
        <v>10.53</v>
      </c>
      <c r="I14" s="14" cm="1">
        <f t="array" aca="1" ref="I14" ca="1">_FV(I1,"Previous close",TRUE)</f>
        <v>55.51</v>
      </c>
      <c r="J14" s="14" cm="1">
        <f t="array" aca="1" ref="J14" ca="1">_FV(J1,"Previous close",TRUE)</f>
        <v>61.95</v>
      </c>
      <c r="K14" s="14" cm="1">
        <f t="array" aca="1" ref="K14" ca="1">_FV(K1,"Previous close",TRUE)</f>
        <v>115.26</v>
      </c>
      <c r="M14" s="15"/>
    </row>
    <row r="15" spans="1:13">
      <c r="K15" s="32"/>
      <c r="M15" s="15"/>
    </row>
    <row r="16" spans="1:13">
      <c r="A16" s="2" t="s">
        <v>12</v>
      </c>
      <c r="B16" s="7" t="str">
        <f t="shared" ref="B16" si="7">IF(((B8*B10)&gt;=B11),"Sell","Hold")</f>
        <v>Hold</v>
      </c>
      <c r="C16" s="7" t="str">
        <f t="shared" ref="C16:K16" ca="1" si="8">IF(((C8*C10)&gt;=C11),"Sell","Hold")</f>
        <v>Hold</v>
      </c>
      <c r="D16" s="7" t="str">
        <f t="shared" ca="1" si="8"/>
        <v>Hold</v>
      </c>
      <c r="E16" s="7" t="str">
        <f t="shared" ca="1" si="8"/>
        <v>Hold</v>
      </c>
      <c r="F16" s="7" t="str">
        <f t="shared" ca="1" si="8"/>
        <v>Hold</v>
      </c>
      <c r="G16" s="7" t="str">
        <f t="shared" ca="1" si="8"/>
        <v>Hold</v>
      </c>
      <c r="H16" s="7" t="str">
        <f t="shared" ca="1" si="8"/>
        <v>Hold</v>
      </c>
      <c r="I16" s="7" t="str">
        <f t="shared" ca="1" si="8"/>
        <v>Hold</v>
      </c>
      <c r="J16" s="7" t="str">
        <f t="shared" ca="1" si="8"/>
        <v>Hold</v>
      </c>
      <c r="K16" s="33" t="str">
        <f t="shared" ca="1" si="8"/>
        <v>Hold</v>
      </c>
      <c r="M16" s="15"/>
    </row>
    <row r="17" spans="1:13">
      <c r="A17" s="51" t="s">
        <v>24</v>
      </c>
      <c r="B17" s="52" t="str">
        <f t="shared" ref="B17" si="9">IFERROR(IF(B16="Sell",(B8*B10),""),"")</f>
        <v/>
      </c>
      <c r="C17" s="52" t="str">
        <f t="shared" ref="C17:K17" ca="1" si="10">IFERROR(IF(C16="Sell",(C8*C10),""),"")</f>
        <v/>
      </c>
      <c r="D17" s="52" t="str">
        <f t="shared" ca="1" si="10"/>
        <v/>
      </c>
      <c r="E17" s="52" t="str">
        <f t="shared" ca="1" si="10"/>
        <v/>
      </c>
      <c r="F17" s="52" t="str">
        <f t="shared" ca="1" si="10"/>
        <v/>
      </c>
      <c r="G17" s="52" t="str">
        <f t="shared" ca="1" si="10"/>
        <v/>
      </c>
      <c r="H17" s="52" t="str">
        <f t="shared" ca="1" si="10"/>
        <v/>
      </c>
      <c r="I17" s="52" t="str">
        <f t="shared" ca="1" si="10"/>
        <v/>
      </c>
      <c r="J17" s="52" t="str">
        <f t="shared" ca="1" si="10"/>
        <v/>
      </c>
      <c r="K17" s="52" t="str">
        <f t="shared" ca="1" si="10"/>
        <v/>
      </c>
      <c r="L17" s="36"/>
      <c r="M17" s="37" t="str">
        <f ca="1">IF(SUM(B17:K17)&lt;&gt;0,SUM(B17:K17),"")</f>
        <v/>
      </c>
    </row>
    <row r="18" spans="1:13" ht="15" thickBot="1">
      <c r="A18" s="25" t="s">
        <v>26</v>
      </c>
      <c r="B18" s="26" cm="1">
        <f t="array" aca="1" ref="B18" ca="1">_FV(B1,"Change (%)",TRUE)</f>
        <v>-7.9150000000000002E-3</v>
      </c>
      <c r="C18" s="26" cm="1">
        <f t="array" aca="1" ref="C18" ca="1">_FV(C1,"Change (%)",TRUE)</f>
        <v>-1.5561999999999999E-2</v>
      </c>
      <c r="D18" s="26" cm="1">
        <f t="array" aca="1" ref="D18" ca="1">_FV(D1,"Change (%)",TRUE)</f>
        <v>-2.2442000000000004E-2</v>
      </c>
      <c r="E18" s="26" cm="1">
        <f t="array" aca="1" ref="E18" ca="1">_FV(E1,"Change (%)",TRUE)</f>
        <v>-1.2189E-2</v>
      </c>
      <c r="F18" s="26" cm="1">
        <f t="array" aca="1" ref="F18" ca="1">_FV(F1,"Change (%)",TRUE)</f>
        <v>4.4275000000000002E-2</v>
      </c>
      <c r="G18" s="26" cm="1">
        <f t="array" aca="1" ref="G18" ca="1">_FV(G1,"Change (%)",TRUE)</f>
        <v>-1.3450000000000001E-3</v>
      </c>
      <c r="H18" s="26" cm="1">
        <f t="array" aca="1" ref="H18" ca="1">_FV(H1,"Change (%)",TRUE)</f>
        <v>3.3237999999999997E-2</v>
      </c>
      <c r="I18" s="26" cm="1">
        <f t="array" aca="1" ref="I18" ca="1">_FV(I1,"Change (%)",TRUE)</f>
        <v>8.8269999999999998E-3</v>
      </c>
      <c r="J18" s="26" cm="1">
        <f t="array" aca="1" ref="J18" ca="1">_FV(J1,"Change (%)",TRUE)</f>
        <v>-4.4713000000000003E-2</v>
      </c>
      <c r="K18" s="34" cm="1">
        <f t="array" aca="1" ref="K18" ca="1">_FV(K1,"Change (%)",TRUE)</f>
        <v>2.5855000000000003E-2</v>
      </c>
    </row>
    <row r="19" spans="1:13" s="28" customFormat="1" ht="16.5" thickBot="1">
      <c r="A19" s="29" t="s">
        <v>25</v>
      </c>
      <c r="B19" s="27" t="str">
        <f ca="1">IF(B18&lt;=-4%,"Strong Buy",IF(B18&lt;=-2%,"Buy More",IF(AND(B8&gt;=B11,B18&gt;=4%),"Strong Harvest",IF(AND(B8&gt;=B11,B18&gt;=2%),"Harvest","Hold"))))</f>
        <v>Hold</v>
      </c>
      <c r="C19" s="27" t="str">
        <f t="shared" ref="C19:K19" ca="1" si="11">IF(C18&lt;=-4%,"Strong Buy",IF(C18&lt;=-2%,"Buy More",IF(AND(C8&gt;=C11,C18&gt;=4%),"Strong Harvest",IF(AND(C8&gt;=C11,C18&gt;=2%),"Harvest","Hold"))))</f>
        <v>Hold</v>
      </c>
      <c r="D19" s="27" t="str">
        <f t="shared" ca="1" si="11"/>
        <v>Buy More</v>
      </c>
      <c r="E19" s="27" t="str">
        <f t="shared" ca="1" si="11"/>
        <v>Hold</v>
      </c>
      <c r="F19" s="27" t="str">
        <f t="shared" ca="1" si="11"/>
        <v>Hold</v>
      </c>
      <c r="G19" s="27" t="str">
        <f t="shared" ca="1" si="11"/>
        <v>Hold</v>
      </c>
      <c r="H19" s="27" t="str">
        <f t="shared" ca="1" si="11"/>
        <v>Hold</v>
      </c>
      <c r="I19" s="27" t="str">
        <f t="shared" ca="1" si="11"/>
        <v>Hold</v>
      </c>
      <c r="J19" s="27" t="str">
        <f t="shared" ca="1" si="11"/>
        <v>Strong Buy</v>
      </c>
      <c r="K19" s="35" t="str">
        <f t="shared" ca="1" si="11"/>
        <v>Hold</v>
      </c>
    </row>
    <row r="20" spans="1:13" s="26" customFormat="1">
      <c r="A20" s="38"/>
    </row>
    <row r="21" spans="1:13" s="1" customFormat="1">
      <c r="A21" s="48" t="s">
        <v>29</v>
      </c>
      <c r="B21" s="48" t="str">
        <f ca="1">IF(AND(B18&gt;0,B3&gt;B4,B8&gt;0),"Yes","")</f>
        <v/>
      </c>
      <c r="C21" s="48" t="str">
        <f t="shared" ref="C21:K21" ca="1" si="12">IF(AND(C18&gt;0,C3&gt;C4,C8&gt;0),"Yes","")</f>
        <v/>
      </c>
      <c r="D21" s="48" t="str">
        <f t="shared" ca="1" si="12"/>
        <v/>
      </c>
      <c r="E21" s="48" t="str">
        <f t="shared" ca="1" si="12"/>
        <v/>
      </c>
      <c r="F21" s="48" t="str">
        <f t="shared" ca="1" si="12"/>
        <v/>
      </c>
      <c r="G21" s="48" t="str">
        <f t="shared" ca="1" si="12"/>
        <v/>
      </c>
      <c r="H21" s="48" t="str">
        <f t="shared" ca="1" si="12"/>
        <v>Yes</v>
      </c>
      <c r="I21" s="48" t="str">
        <f t="shared" ca="1" si="12"/>
        <v>Yes</v>
      </c>
      <c r="J21" s="48" t="str">
        <f t="shared" ca="1" si="12"/>
        <v/>
      </c>
      <c r="K21" s="48" t="str">
        <f t="shared" ca="1" si="12"/>
        <v/>
      </c>
    </row>
    <row r="22" spans="1:13" s="50" customFormat="1">
      <c r="A22" s="49" t="s">
        <v>30</v>
      </c>
      <c r="B22" s="49" t="str">
        <f ca="1">IF(B3&lt;B14,"Sure",(IF(B3&lt;B4,"Ey","")))</f>
        <v/>
      </c>
      <c r="C22" s="49" t="str">
        <f t="shared" ref="C22:K22" ca="1" si="13">IF(C3&lt;C14,"Sure",(IF(C3&lt;C4,"Ey","")))</f>
        <v>Sure</v>
      </c>
      <c r="D22" s="49" t="str">
        <f t="shared" ca="1" si="13"/>
        <v>Sure</v>
      </c>
      <c r="E22" s="49" t="str">
        <f t="shared" ca="1" si="13"/>
        <v>Sure</v>
      </c>
      <c r="F22" s="49" t="str">
        <f t="shared" ca="1" si="13"/>
        <v>Ey</v>
      </c>
      <c r="G22" s="49" t="str">
        <f t="shared" ca="1" si="13"/>
        <v>Sure</v>
      </c>
      <c r="H22" s="49" t="str">
        <f t="shared" ca="1" si="13"/>
        <v/>
      </c>
      <c r="I22" s="49" t="str">
        <f t="shared" ca="1" si="13"/>
        <v/>
      </c>
      <c r="J22" s="49" t="str">
        <f t="shared" ca="1" si="13"/>
        <v>Sure</v>
      </c>
      <c r="K22" s="49" t="str">
        <f t="shared" ca="1" si="13"/>
        <v>Ey</v>
      </c>
    </row>
  </sheetData>
  <conditionalFormatting sqref="N16:XFD17 A16:L17 A18:A20">
    <cfRule type="cellIs" dxfId="8" priority="14" operator="equal">
      <formula>"Hold"</formula>
    </cfRule>
    <cfRule type="cellIs" dxfId="7" priority="15" operator="equal">
      <formula>"Sell"</formula>
    </cfRule>
  </conditionalFormatting>
  <conditionalFormatting sqref="A8:L8 N8:XFD8">
    <cfRule type="cellIs" dxfId="6" priority="11" operator="lessThan">
      <formula>0</formula>
    </cfRule>
  </conditionalFormatting>
  <conditionalFormatting sqref="B8:K8">
    <cfRule type="cellIs" dxfId="5" priority="12" operator="greaterThan">
      <formula>0</formula>
    </cfRule>
  </conditionalFormatting>
  <conditionalFormatting sqref="B19:K19">
    <cfRule type="cellIs" dxfId="4" priority="6" operator="equal">
      <formula>"Harvest"</formula>
    </cfRule>
    <cfRule type="cellIs" dxfId="3" priority="7" stopIfTrue="1" operator="equal">
      <formula>"Buy More"</formula>
    </cfRule>
    <cfRule type="cellIs" dxfId="2" priority="8" stopIfTrue="1" operator="equal">
      <formula>"Strong Buy"</formula>
    </cfRule>
  </conditionalFormatting>
  <conditionalFormatting sqref="B20:K20">
    <cfRule type="dataBar" priority="5">
      <dataBar>
        <cfvo type="min"/>
        <cfvo type="max"/>
        <color rgb="FFFFB628"/>
      </dataBar>
      <extLst>
        <ext xmlns:x14="http://schemas.microsoft.com/office/spreadsheetml/2009/9/main" uri="{B025F937-C7B1-47D3-B67F-A62EFF666E3E}">
          <x14:id>{8410F22A-6DC1-4796-959F-731D52287441}</x14:id>
        </ext>
      </extLst>
    </cfRule>
  </conditionalFormatting>
  <conditionalFormatting sqref="B4:K4">
    <cfRule type="expression" dxfId="1" priority="2">
      <formula>B3&gt;B4</formula>
    </cfRule>
    <cfRule type="expression" dxfId="0" priority="1">
      <formula>B3&lt;B4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410F22A-6DC1-4796-959F-731D52287441}">
            <x14:dataBar minLength="0" maxLength="100" border="1" negativeBarBorderColorSameAsPositive="0">
              <x14:cfvo type="autoMin"/>
              <x14:cfvo type="autoMax"/>
              <x14:borderColor rgb="FFFFB628"/>
              <x14:negativeFillColor rgb="FFFF0000"/>
              <x14:negativeBorderColor rgb="FFFF0000"/>
              <x14:axisColor rgb="FF000000"/>
            </x14:dataBar>
          </x14:cfRule>
          <xm:sqref>B20:K20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79311-E3F7-4D4C-9E5D-EA5BD43A37A3}">
  <dimension ref="A1:U25"/>
  <sheetViews>
    <sheetView workbookViewId="0">
      <selection activeCell="B27" sqref="B27"/>
    </sheetView>
  </sheetViews>
  <sheetFormatPr defaultRowHeight="14.5"/>
  <cols>
    <col min="1" max="1" width="19.6328125" bestFit="1" customWidth="1"/>
    <col min="2" max="2" width="18.90625" customWidth="1"/>
    <col min="3" max="3" width="12" bestFit="1" customWidth="1"/>
    <col min="4" max="4" width="15.54296875" bestFit="1" customWidth="1"/>
    <col min="5" max="10" width="15.54296875" customWidth="1"/>
    <col min="11" max="19" width="9.26953125" customWidth="1"/>
  </cols>
  <sheetData>
    <row r="1" spans="1:21">
      <c r="A1" t="s">
        <v>2</v>
      </c>
      <c r="B1" s="3" t="e" vm="1">
        <v>#VALUE!</v>
      </c>
      <c r="C1" s="3"/>
      <c r="D1" s="3"/>
      <c r="E1" s="3"/>
      <c r="F1" s="3"/>
      <c r="G1" s="3"/>
      <c r="H1" s="3"/>
      <c r="I1" s="3"/>
      <c r="J1" s="3"/>
      <c r="K1" s="5" t="e" vm="2">
        <v>#VALUE!</v>
      </c>
      <c r="L1" s="3" t="e" vm="3">
        <v>#VALUE!</v>
      </c>
      <c r="M1" s="5" t="e" vm="4">
        <v>#VALUE!</v>
      </c>
      <c r="N1" s="3" t="e" vm="5">
        <v>#VALUE!</v>
      </c>
      <c r="O1" s="5" t="e" vm="6">
        <v>#VALUE!</v>
      </c>
      <c r="P1" s="3" t="e" vm="7">
        <v>#VALUE!</v>
      </c>
      <c r="Q1" s="5" t="e" vm="8">
        <v>#VALUE!</v>
      </c>
      <c r="R1" s="3" t="e" vm="9">
        <v>#VALUE!</v>
      </c>
      <c r="S1" s="5" t="e" vm="10">
        <v>#VALUE!</v>
      </c>
      <c r="U1" s="17" t="s">
        <v>6</v>
      </c>
    </row>
    <row r="2" spans="1:21">
      <c r="A2" s="2" t="s">
        <v>4</v>
      </c>
      <c r="B2" s="1" t="str" cm="1">
        <f t="array" aca="1" ref="B2" ca="1">IFERROR(_FV(B1,"Ticker symbol",TRUE),"")</f>
        <v>MRVL</v>
      </c>
      <c r="C2" s="1"/>
      <c r="D2" s="1"/>
      <c r="E2" s="1"/>
      <c r="F2" s="1"/>
      <c r="G2" s="1"/>
      <c r="H2" s="1"/>
      <c r="I2" s="1"/>
      <c r="J2" s="1"/>
      <c r="K2" s="1" t="str" cm="1">
        <f t="array" aca="1" ref="K2" ca="1">IFERROR(_FV(K1,"Ticker symbol",TRUE),"")</f>
        <v>NVDA</v>
      </c>
      <c r="L2" s="1" t="str" cm="1">
        <f t="array" aca="1" ref="L2" ca="1">IFERROR(_FV(L1,"Ticker symbol",TRUE),"")</f>
        <v>MSFT</v>
      </c>
      <c r="M2" s="1" t="str" cm="1">
        <f t="array" aca="1" ref="M2" ca="1">IFERROR(_FV(M1,"Ticker symbol",TRUE),"")</f>
        <v>SPY</v>
      </c>
      <c r="N2" s="1" t="str" cm="1">
        <f t="array" aca="1" ref="N2" ca="1">IFERROR(_FV(N1,"Ticker symbol",TRUE),"")</f>
        <v>STI</v>
      </c>
      <c r="O2" s="1" t="str" cm="1">
        <f t="array" aca="1" ref="O2" ca="1">IFERROR(_FV(O1,"Ticker symbol",TRUE),"")</f>
        <v>VSAT</v>
      </c>
      <c r="P2" s="1" t="str" cm="1">
        <f t="array" aca="1" ref="P2" ca="1">IFERROR(_FV(P1,"Ticker symbol",TRUE),"")</f>
        <v>CTOS</v>
      </c>
      <c r="Q2" s="1" t="str" cm="1">
        <f t="array" aca="1" ref="Q2" ca="1">IFERROR(_FV(Q1,"Ticker symbol",TRUE),"")</f>
        <v>PYPL</v>
      </c>
      <c r="R2" s="1" t="str" cm="1">
        <f t="array" aca="1" ref="R2" ca="1">IFERROR(_FV(R1,"Ticker symbol",TRUE),"")</f>
        <v>ASTS</v>
      </c>
      <c r="S2" s="1" t="str" cm="1">
        <f t="array" aca="1" ref="S2" ca="1">IFERROR(_FV(S1,"Ticker symbol",TRUE),"")</f>
        <v>SPCX</v>
      </c>
    </row>
    <row r="3" spans="1:21">
      <c r="A3" s="2" t="s">
        <v>3</v>
      </c>
      <c r="B3" s="4" cm="1">
        <f t="array" aca="1" ref="B3" ca="1">_FV(B1,"Price")</f>
        <v>209.32</v>
      </c>
      <c r="C3" s="4"/>
      <c r="D3" s="4"/>
      <c r="E3" s="4"/>
      <c r="F3" s="4"/>
      <c r="G3" s="4"/>
      <c r="H3" s="4"/>
      <c r="I3" s="4"/>
      <c r="J3" s="4"/>
      <c r="K3" s="5" cm="1">
        <f t="array" aca="1" ref="K3" ca="1">IFERROR(_FV(K1,"Price"),"")</f>
        <v>208.76</v>
      </c>
      <c r="L3" s="4" cm="1">
        <f t="array" aca="1" ref="L3" ca="1">IFERROR(_FV(L1,"Price"),"")</f>
        <v>381.58</v>
      </c>
      <c r="M3" s="5" cm="1">
        <f t="array" aca="1" ref="M3" ca="1">IFERROR(_FV(M1,"Price"),"")</f>
        <v>738.3</v>
      </c>
      <c r="N3" s="4" cm="1">
        <f t="array" aca="1" ref="N3" ca="1">IFERROR(_FV(N1,"Price"),"")</f>
        <v>6.84</v>
      </c>
      <c r="O3" s="5" cm="1">
        <f t="array" aca="1" ref="O3" ca="1">IFERROR(_FV(O1,"Price"),"")</f>
        <v>74.27</v>
      </c>
      <c r="P3" s="4" cm="1">
        <f t="array" aca="1" ref="P3" ca="1">IFERROR(_FV(P1,"Price"),"")</f>
        <v>10.88</v>
      </c>
      <c r="Q3" s="5" cm="1">
        <f t="array" aca="1" ref="Q3" ca="1">IFERROR(_FV(Q1,"Price"),"")</f>
        <v>56</v>
      </c>
      <c r="R3" s="4" cm="1">
        <f t="array" aca="1" ref="R3" ca="1">IFERROR(_FV(R1,"Price"),"")</f>
        <v>59.18</v>
      </c>
      <c r="S3" s="5" cm="1">
        <f t="array" aca="1" ref="S3" ca="1">IFERROR(_FV(S1,"Price"),"")</f>
        <v>118.24</v>
      </c>
    </row>
    <row r="4" spans="1:21">
      <c r="A4" s="2"/>
      <c r="B4" s="4" t="s">
        <v>16</v>
      </c>
      <c r="C4" s="4" t="s">
        <v>17</v>
      </c>
      <c r="D4" s="4" t="s">
        <v>18</v>
      </c>
      <c r="E4" s="4" t="s">
        <v>19</v>
      </c>
      <c r="F4" s="4" t="s">
        <v>20</v>
      </c>
      <c r="G4" s="4" t="s">
        <v>21</v>
      </c>
      <c r="H4" s="4"/>
      <c r="I4" s="4"/>
      <c r="J4" s="4"/>
      <c r="K4" s="5"/>
      <c r="L4" s="4"/>
      <c r="M4" s="5"/>
      <c r="N4" s="4"/>
      <c r="O4" s="5"/>
      <c r="P4" s="4"/>
      <c r="Q4" s="5"/>
      <c r="R4" s="4"/>
      <c r="S4" s="5"/>
    </row>
    <row r="5" spans="1:21">
      <c r="B5" s="8">
        <v>189.49</v>
      </c>
      <c r="C5" s="8">
        <v>10</v>
      </c>
      <c r="D5">
        <f>C5/B5</f>
        <v>5.2773233416011395E-2</v>
      </c>
      <c r="E5" s="9">
        <f ca="1">D5*B3</f>
        <v>11.046493218639505</v>
      </c>
      <c r="F5" s="9">
        <f ca="1">E5-C5</f>
        <v>1.0464932186395046</v>
      </c>
      <c r="G5" s="9">
        <f ca="1">F5*B12</f>
        <v>0.20929864372790094</v>
      </c>
      <c r="H5" s="9"/>
      <c r="I5" s="9"/>
      <c r="J5" s="9"/>
    </row>
    <row r="6" spans="1:21">
      <c r="A6" s="2" t="s">
        <v>1</v>
      </c>
      <c r="B6" s="6">
        <v>189.49</v>
      </c>
      <c r="C6" s="6"/>
      <c r="D6" s="6"/>
      <c r="E6" s="6"/>
      <c r="F6" s="6"/>
      <c r="G6" s="6"/>
      <c r="H6" s="6"/>
      <c r="I6" s="6"/>
      <c r="J6" s="6"/>
      <c r="K6" s="6">
        <v>206.89</v>
      </c>
      <c r="L6" s="6">
        <v>396.45</v>
      </c>
      <c r="M6" s="6">
        <v>753.98</v>
      </c>
      <c r="N6" s="6">
        <v>8.48</v>
      </c>
      <c r="O6" s="6">
        <v>75.44</v>
      </c>
      <c r="P6" s="6">
        <v>10.43</v>
      </c>
      <c r="Q6" s="6">
        <v>54.66</v>
      </c>
      <c r="R6" s="6">
        <v>56.57</v>
      </c>
      <c r="S6" s="6">
        <v>122.41</v>
      </c>
      <c r="U6" s="15"/>
    </row>
    <row r="7" spans="1:21">
      <c r="A7" s="2" t="s">
        <v>0</v>
      </c>
      <c r="B7" s="6">
        <v>13.75</v>
      </c>
      <c r="C7" s="6"/>
      <c r="D7" s="6"/>
      <c r="E7" s="6"/>
      <c r="F7" s="6"/>
      <c r="G7" s="6"/>
      <c r="H7" s="6"/>
      <c r="I7" s="6"/>
      <c r="J7" s="6"/>
      <c r="K7" s="6">
        <v>27.36</v>
      </c>
      <c r="L7" s="6">
        <v>1.49</v>
      </c>
      <c r="M7" s="6">
        <v>12.06</v>
      </c>
      <c r="N7" s="6">
        <v>14.95</v>
      </c>
      <c r="O7" s="6">
        <v>5.18</v>
      </c>
      <c r="P7" s="6">
        <v>10.43</v>
      </c>
      <c r="Q7" s="6">
        <v>2.76</v>
      </c>
      <c r="R7" s="6">
        <v>0.48</v>
      </c>
      <c r="S7" s="6">
        <v>20</v>
      </c>
      <c r="U7" s="16">
        <f>SUM(B7:S7)</f>
        <v>108.46000000000001</v>
      </c>
    </row>
    <row r="8" spans="1:21">
      <c r="A8" s="2" t="s">
        <v>5</v>
      </c>
      <c r="B8" s="12">
        <f>IFERROR(B7/B6,"")</f>
        <v>7.2563195947015671E-2</v>
      </c>
      <c r="C8" s="12"/>
      <c r="D8" s="12"/>
      <c r="E8" s="12"/>
      <c r="F8" s="12"/>
      <c r="G8" s="12"/>
      <c r="H8" s="12"/>
      <c r="I8" s="12"/>
      <c r="J8" s="12"/>
      <c r="K8" s="12">
        <f t="shared" ref="K8:S8" si="0">IFERROR(K7/K6,"")</f>
        <v>0.13224418773261154</v>
      </c>
      <c r="L8" s="12">
        <f t="shared" si="0"/>
        <v>3.758355404212385E-3</v>
      </c>
      <c r="M8" s="12">
        <f t="shared" si="0"/>
        <v>1.5995119233931935E-2</v>
      </c>
      <c r="N8" s="12">
        <f t="shared" si="0"/>
        <v>1.7629716981132073</v>
      </c>
      <c r="O8" s="12">
        <f t="shared" si="0"/>
        <v>6.8663838812301162E-2</v>
      </c>
      <c r="P8" s="12">
        <f t="shared" si="0"/>
        <v>1</v>
      </c>
      <c r="Q8" s="12">
        <f t="shared" si="0"/>
        <v>5.0493962678375408E-2</v>
      </c>
      <c r="R8" s="12">
        <f t="shared" si="0"/>
        <v>8.4850627541099514E-3</v>
      </c>
      <c r="S8" s="12">
        <f t="shared" si="0"/>
        <v>0.16338534433461319</v>
      </c>
      <c r="U8" s="15"/>
    </row>
    <row r="9" spans="1:21">
      <c r="A9" s="2" t="s">
        <v>10</v>
      </c>
      <c r="B9" s="19">
        <f ca="1">B8*B3</f>
        <v>15.18892817562932</v>
      </c>
      <c r="C9" s="19"/>
      <c r="D9" s="19"/>
      <c r="E9" s="19"/>
      <c r="F9" s="19"/>
      <c r="G9" s="19"/>
      <c r="H9" s="19"/>
      <c r="I9" s="19"/>
      <c r="J9" s="19"/>
      <c r="K9" s="19">
        <f t="shared" ref="K9:S9" ca="1" si="1">K8*K3</f>
        <v>27.607296631059985</v>
      </c>
      <c r="L9" s="19">
        <f t="shared" ca="1" si="1"/>
        <v>1.4341132551393618</v>
      </c>
      <c r="M9" s="19">
        <f t="shared" ca="1" si="1"/>
        <v>11.809196530411947</v>
      </c>
      <c r="N9" s="19">
        <f t="shared" ca="1" si="1"/>
        <v>12.058726415094338</v>
      </c>
      <c r="O9" s="19">
        <f t="shared" ca="1" si="1"/>
        <v>5.0996633085896068</v>
      </c>
      <c r="P9" s="19">
        <f t="shared" ca="1" si="1"/>
        <v>10.88</v>
      </c>
      <c r="Q9" s="19">
        <f t="shared" ca="1" si="1"/>
        <v>2.8276619099890228</v>
      </c>
      <c r="R9" s="19">
        <f t="shared" ca="1" si="1"/>
        <v>0.50214601378822687</v>
      </c>
      <c r="S9" s="19">
        <f t="shared" ca="1" si="1"/>
        <v>19.318683114124664</v>
      </c>
      <c r="U9" s="15"/>
    </row>
    <row r="10" spans="1:21">
      <c r="A10" s="2" t="s">
        <v>11</v>
      </c>
      <c r="B10" s="23">
        <f ca="1">B9-B7</f>
        <v>1.4389281756293197</v>
      </c>
      <c r="C10" s="23"/>
      <c r="D10" s="23"/>
      <c r="E10" s="23"/>
      <c r="F10" s="23"/>
      <c r="G10" s="23"/>
      <c r="H10" s="23"/>
      <c r="I10" s="23"/>
      <c r="J10" s="23"/>
      <c r="K10" s="23">
        <f t="shared" ref="K10:S10" ca="1" si="2">K9-K7</f>
        <v>0.24729663105998512</v>
      </c>
      <c r="L10" s="23">
        <f t="shared" ca="1" si="2"/>
        <v>-5.588674486063816E-2</v>
      </c>
      <c r="M10" s="23">
        <f t="shared" ca="1" si="2"/>
        <v>-0.25080346958805322</v>
      </c>
      <c r="N10" s="23">
        <f t="shared" ca="1" si="2"/>
        <v>-2.8912735849056617</v>
      </c>
      <c r="O10" s="23">
        <f t="shared" ca="1" si="2"/>
        <v>-8.0336691410392902E-2</v>
      </c>
      <c r="P10" s="23">
        <f t="shared" ca="1" si="2"/>
        <v>0.45000000000000107</v>
      </c>
      <c r="Q10" s="23">
        <f t="shared" ca="1" si="2"/>
        <v>6.7661909989022995E-2</v>
      </c>
      <c r="R10" s="23">
        <f t="shared" ca="1" si="2"/>
        <v>2.2146013788226893E-2</v>
      </c>
      <c r="S10" s="23">
        <f t="shared" ca="1" si="2"/>
        <v>-0.68131688587533645</v>
      </c>
    </row>
    <row r="11" spans="1:21">
      <c r="A11" s="2" t="s">
        <v>13</v>
      </c>
      <c r="B11" s="11">
        <v>0.03</v>
      </c>
      <c r="C11" s="11"/>
      <c r="D11" s="11"/>
      <c r="E11" s="11"/>
      <c r="F11" s="11"/>
      <c r="G11" s="11"/>
      <c r="H11" s="11"/>
      <c r="I11" s="11"/>
      <c r="J11" s="11"/>
      <c r="K11" s="11">
        <v>0.03</v>
      </c>
      <c r="L11" s="11">
        <v>0.03</v>
      </c>
      <c r="M11" s="11">
        <v>0.03</v>
      </c>
      <c r="N11" s="11">
        <v>0.03</v>
      </c>
      <c r="O11" s="11">
        <v>0.03</v>
      </c>
      <c r="P11" s="11">
        <v>0.03</v>
      </c>
      <c r="Q11" s="11">
        <v>0.03</v>
      </c>
      <c r="R11" s="11">
        <v>0.03</v>
      </c>
      <c r="S11" s="11">
        <v>0.03</v>
      </c>
      <c r="U11" s="15"/>
    </row>
    <row r="12" spans="1:21">
      <c r="A12" s="2" t="s">
        <v>9</v>
      </c>
      <c r="B12" s="11">
        <v>0.2</v>
      </c>
      <c r="C12" s="11"/>
      <c r="D12" s="11"/>
      <c r="E12" s="11"/>
      <c r="F12" s="11"/>
      <c r="G12" s="11"/>
      <c r="H12" s="11"/>
      <c r="I12" s="11"/>
      <c r="J12" s="11"/>
      <c r="K12" s="11">
        <v>0.2</v>
      </c>
      <c r="L12" s="11">
        <v>0.2</v>
      </c>
      <c r="M12" s="11">
        <v>0.2</v>
      </c>
      <c r="N12" s="11">
        <v>0.2</v>
      </c>
      <c r="O12" s="11">
        <v>0.2</v>
      </c>
      <c r="P12" s="11">
        <v>0.2</v>
      </c>
      <c r="Q12" s="11">
        <v>0.2</v>
      </c>
      <c r="R12" s="11">
        <v>0.2</v>
      </c>
      <c r="S12" s="11">
        <v>0.2</v>
      </c>
      <c r="U12" s="15"/>
    </row>
    <row r="13" spans="1:21">
      <c r="A13" s="2" t="s">
        <v>8</v>
      </c>
      <c r="B13" s="19">
        <v>0.5</v>
      </c>
      <c r="C13" s="19"/>
      <c r="D13" s="19"/>
      <c r="E13" s="19"/>
      <c r="F13" s="19"/>
      <c r="G13" s="19"/>
      <c r="H13" s="19"/>
      <c r="I13" s="19"/>
      <c r="J13" s="19"/>
      <c r="K13" s="19">
        <v>0.5</v>
      </c>
      <c r="L13" s="19">
        <v>0.5</v>
      </c>
      <c r="M13" s="19">
        <v>0.5</v>
      </c>
      <c r="N13" s="19">
        <v>0.5</v>
      </c>
      <c r="O13" s="19">
        <v>0.5</v>
      </c>
      <c r="P13" s="19">
        <v>0.5</v>
      </c>
      <c r="Q13" s="19">
        <v>0.5</v>
      </c>
      <c r="R13" s="19">
        <v>0.5</v>
      </c>
      <c r="S13" s="19">
        <v>0.5</v>
      </c>
      <c r="U13" s="15"/>
    </row>
    <row r="14" spans="1:21">
      <c r="A14" s="2"/>
      <c r="B14" s="10"/>
      <c r="C14" s="10"/>
      <c r="D14" s="10"/>
      <c r="E14" s="10"/>
      <c r="F14" s="10"/>
      <c r="G14" s="10"/>
      <c r="H14" s="10"/>
      <c r="I14" s="10"/>
      <c r="J14" s="10"/>
      <c r="K14" s="10"/>
      <c r="L14" s="10"/>
      <c r="M14" s="10"/>
      <c r="N14" s="10"/>
      <c r="O14" s="10"/>
      <c r="P14" s="10"/>
      <c r="Q14" s="10"/>
      <c r="R14" s="10"/>
      <c r="S14" s="10"/>
      <c r="U14" s="15"/>
    </row>
    <row r="15" spans="1:21">
      <c r="A15" s="2" t="s">
        <v>14</v>
      </c>
      <c r="B15" s="13">
        <f>B6+(B13/(B8*B12))</f>
        <v>223.94272727272727</v>
      </c>
      <c r="C15" s="13"/>
      <c r="D15" s="13"/>
      <c r="E15" s="13"/>
      <c r="F15" s="13"/>
      <c r="G15" s="13"/>
      <c r="H15" s="13"/>
      <c r="I15" s="13"/>
      <c r="J15" s="13"/>
      <c r="K15" s="13"/>
      <c r="L15" s="13"/>
      <c r="M15" s="13"/>
      <c r="N15" s="13"/>
      <c r="O15" s="13"/>
      <c r="P15" s="13"/>
      <c r="Q15" s="13"/>
      <c r="R15" s="13"/>
      <c r="S15" s="13"/>
      <c r="U15" s="15"/>
    </row>
    <row r="16" spans="1:21">
      <c r="A16" s="2" t="s">
        <v>15</v>
      </c>
      <c r="B16" s="14" cm="1">
        <f t="array" aca="1" ref="B16" ca="1">_FV(B1,"Previous close",TRUE)</f>
        <v>210.99</v>
      </c>
      <c r="C16" s="14"/>
      <c r="D16" s="14"/>
      <c r="E16" s="14"/>
      <c r="F16" s="14"/>
      <c r="G16" s="14"/>
      <c r="H16" s="14"/>
      <c r="I16" s="14"/>
      <c r="J16" s="14"/>
      <c r="K16" s="14"/>
      <c r="L16" s="14"/>
      <c r="M16" s="14"/>
      <c r="N16" s="14"/>
      <c r="O16" s="14"/>
      <c r="P16" s="14"/>
      <c r="Q16" s="14"/>
      <c r="R16" s="14"/>
      <c r="S16" s="14"/>
      <c r="U16" s="15"/>
    </row>
    <row r="17" spans="1:21">
      <c r="U17" s="15"/>
    </row>
    <row r="18" spans="1:21">
      <c r="A18" s="2" t="s">
        <v>12</v>
      </c>
      <c r="B18" s="7" t="str">
        <f ca="1">IF(((B10*B12)&gt;=B13),"Sell","Wait")</f>
        <v>Wait</v>
      </c>
      <c r="C18" s="7"/>
      <c r="D18" s="7"/>
      <c r="E18" s="7"/>
      <c r="F18" s="7"/>
      <c r="G18" s="7"/>
      <c r="H18" s="7"/>
      <c r="I18" s="7"/>
      <c r="J18" s="7"/>
      <c r="K18" s="7" t="str">
        <f t="shared" ref="K18:S18" ca="1" si="3">IF(((K10*K12)&gt;=K13),"Sell","Wait")</f>
        <v>Wait</v>
      </c>
      <c r="L18" s="7" t="str">
        <f t="shared" ca="1" si="3"/>
        <v>Wait</v>
      </c>
      <c r="M18" s="7" t="str">
        <f t="shared" ca="1" si="3"/>
        <v>Wait</v>
      </c>
      <c r="N18" s="7" t="str">
        <f t="shared" ca="1" si="3"/>
        <v>Wait</v>
      </c>
      <c r="O18" s="7" t="str">
        <f t="shared" ca="1" si="3"/>
        <v>Wait</v>
      </c>
      <c r="P18" s="7" t="str">
        <f t="shared" ca="1" si="3"/>
        <v>Wait</v>
      </c>
      <c r="Q18" s="7" t="str">
        <f t="shared" ca="1" si="3"/>
        <v>Wait</v>
      </c>
      <c r="R18" s="7" t="str">
        <f t="shared" ca="1" si="3"/>
        <v>Wait</v>
      </c>
      <c r="S18" s="7" t="str">
        <f t="shared" ca="1" si="3"/>
        <v>Wait</v>
      </c>
      <c r="U18" s="15"/>
    </row>
    <row r="19" spans="1:21">
      <c r="A19" s="18" t="s">
        <v>7</v>
      </c>
      <c r="B19" s="20" t="str">
        <f ca="1">IFERROR(IF(B18="Sell",(B10*B12),""),"")</f>
        <v/>
      </c>
      <c r="C19" s="20"/>
      <c r="D19" s="20"/>
      <c r="E19" s="20"/>
      <c r="F19" s="20"/>
      <c r="G19" s="20"/>
      <c r="H19" s="20"/>
      <c r="I19" s="20"/>
      <c r="J19" s="20"/>
      <c r="K19" s="20" t="str">
        <f t="shared" ref="K19:S19" ca="1" si="4">IFERROR(IF(K18="Sell",(K10*K12),""),"")</f>
        <v/>
      </c>
      <c r="L19" s="20" t="str">
        <f t="shared" ca="1" si="4"/>
        <v/>
      </c>
      <c r="M19" s="20" t="str">
        <f t="shared" ca="1" si="4"/>
        <v/>
      </c>
      <c r="N19" s="20" t="str">
        <f t="shared" ca="1" si="4"/>
        <v/>
      </c>
      <c r="O19" s="20" t="str">
        <f t="shared" ca="1" si="4"/>
        <v/>
      </c>
      <c r="P19" s="20" t="str">
        <f t="shared" ca="1" si="4"/>
        <v/>
      </c>
      <c r="Q19" s="20" t="str">
        <f t="shared" ca="1" si="4"/>
        <v/>
      </c>
      <c r="R19" s="20" t="str">
        <f t="shared" ca="1" si="4"/>
        <v/>
      </c>
      <c r="S19" s="20" t="str">
        <f t="shared" ca="1" si="4"/>
        <v/>
      </c>
      <c r="T19" s="21"/>
      <c r="U19" s="22">
        <f ca="1">SUM(B19:S19)</f>
        <v>0</v>
      </c>
    </row>
    <row r="21" spans="1:21">
      <c r="A21" s="9"/>
    </row>
    <row r="22" spans="1:21">
      <c r="A22" s="9"/>
      <c r="B22" s="9"/>
      <c r="C22" s="9"/>
      <c r="D22" s="9"/>
      <c r="E22" s="9"/>
      <c r="F22" s="9"/>
      <c r="G22" s="9"/>
      <c r="H22" s="9"/>
      <c r="I22" s="9"/>
      <c r="J22" s="9"/>
    </row>
    <row r="25" spans="1:21">
      <c r="B25" s="24"/>
    </row>
  </sheetData>
  <conditionalFormatting sqref="A18:T19 V18:XFD19">
    <cfRule type="cellIs" dxfId="13" priority="3" operator="equal">
      <formula>"Rebuy"</formula>
    </cfRule>
    <cfRule type="cellIs" dxfId="12" priority="4" operator="equal">
      <formula>"Wait"</formula>
    </cfRule>
    <cfRule type="cellIs" dxfId="11" priority="5" operator="equal">
      <formula>"Sell"</formula>
    </cfRule>
  </conditionalFormatting>
  <conditionalFormatting sqref="A10:XFD10">
    <cfRule type="cellIs" dxfId="10" priority="1" operator="lessThan">
      <formula>0</formula>
    </cfRule>
  </conditionalFormatting>
  <conditionalFormatting sqref="B10:S10">
    <cfRule type="cellIs" dxfId="9" priority="2" operator="greaterThan">
      <formula>0</formula>
    </cfRule>
  </conditionalFormatting>
  <pageMargins left="0.7" right="0.7" top="0.75" bottom="0.75" header="0.3" footer="0.3"/>
</worksheet>
</file>

<file path=docMetadata/LabelInfo.xml><?xml version="1.0" encoding="utf-8"?>
<clbl:labelList xmlns:clbl="http://schemas.microsoft.com/office/2020/mipLabelMetadata">
  <clbl:label id="{f1e2e89e-7190-4b0f-9463-d7f5b09db86c}" enabled="0" method="" siteId="{f1e2e89e-7190-4b0f-9463-d7f5b09db86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Sheet1 (2)</vt:lpstr>
    </vt:vector>
  </TitlesOfParts>
  <Company>California Highway Patrol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Taheri-Shalmani, Ali@CHP</dc:creator>
  <cp:lastModifiedBy>Taheri-Shalmani, Ali@CHP</cp:lastModifiedBy>
  <dcterms:created xsi:type="dcterms:W3CDTF">2026-07-22T15:14:08Z</dcterms:created>
  <dcterms:modified xsi:type="dcterms:W3CDTF">2026-07-23T22:53:31Z</dcterms:modified>
</cp:coreProperties>
</file>